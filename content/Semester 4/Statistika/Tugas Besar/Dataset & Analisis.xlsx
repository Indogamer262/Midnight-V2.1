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 Vincentius\Downloads\"/>
    </mc:Choice>
  </mc:AlternateContent>
  <xr:revisionPtr revIDLastSave="0" documentId="13_ncr:1_{80959117-AEE7-46AA-AD7B-3084553563B5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Raw Data" sheetId="1" r:id="rId1"/>
    <sheet name="Data Cleaning" sheetId="2" r:id="rId2"/>
    <sheet name="Master Data" sheetId="4" r:id="rId3"/>
    <sheet name="Test Calculation" sheetId="5" r:id="rId4"/>
    <sheet name="Test Calculation 2" sheetId="6" r:id="rId5"/>
    <sheet name="Observations" sheetId="8" r:id="rId6"/>
    <sheet name="R Square&quot; &amp; &quot;Multiple R" sheetId="9" r:id="rId7"/>
    <sheet name="Adjusted R Square" sheetId="10" r:id="rId8"/>
  </sheets>
  <definedNames>
    <definedName name="_xlnm._FilterDatabase" localSheetId="7" hidden="1">'Adjusted R Square'!#REF!</definedName>
    <definedName name="_xlnm._FilterDatabase" localSheetId="1" hidden="1">'Data Cleaning'!$A$10:$F$90</definedName>
    <definedName name="_xlnm._FilterDatabase" localSheetId="2" hidden="1">'Master Data'!#REF!</definedName>
    <definedName name="_xlnm._FilterDatabase" localSheetId="5" hidden="1">Observations!#REF!</definedName>
    <definedName name="_xlnm._FilterDatabase" localSheetId="6" hidden="1">'R Square" &amp; "Multiple R'!#REF!</definedName>
    <definedName name="_xlnm._FilterDatabase" localSheetId="0" hidden="1">'Raw Data'!$A$1:$L$151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0" l="1"/>
  <c r="L14" i="10"/>
  <c r="L13" i="10"/>
  <c r="L11" i="9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L12" i="10" s="1"/>
  <c r="H10" i="10"/>
  <c r="L12" i="9"/>
  <c r="L9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10" i="9"/>
  <c r="L9" i="8"/>
  <c r="L7" i="8"/>
  <c r="D89" i="2"/>
  <c r="D88" i="2"/>
  <c r="D87" i="2"/>
  <c r="D85" i="2"/>
  <c r="D84" i="2"/>
  <c r="D83" i="2"/>
  <c r="D81" i="2"/>
  <c r="D80" i="2"/>
  <c r="D79" i="2"/>
  <c r="D77" i="2"/>
  <c r="D76" i="2"/>
  <c r="D75" i="2"/>
  <c r="D73" i="2"/>
  <c r="D72" i="2"/>
  <c r="D71" i="2"/>
  <c r="D69" i="2"/>
  <c r="D68" i="2"/>
  <c r="D67" i="2"/>
  <c r="D65" i="2"/>
  <c r="D64" i="2"/>
  <c r="D63" i="2"/>
  <c r="D61" i="2"/>
  <c r="D60" i="2"/>
  <c r="D59" i="2"/>
  <c r="D57" i="2"/>
  <c r="D56" i="2"/>
  <c r="D55" i="2"/>
  <c r="D53" i="2"/>
  <c r="D52" i="2"/>
  <c r="D51" i="2"/>
  <c r="D49" i="2"/>
  <c r="D48" i="2"/>
  <c r="D47" i="2"/>
  <c r="D45" i="2"/>
  <c r="D44" i="2"/>
  <c r="D43" i="2"/>
  <c r="D41" i="2"/>
  <c r="D40" i="2"/>
  <c r="D39" i="2"/>
  <c r="D37" i="2"/>
  <c r="D36" i="2"/>
  <c r="D35" i="2"/>
  <c r="D33" i="2"/>
  <c r="D32" i="2"/>
  <c r="D31" i="2"/>
  <c r="D29" i="2"/>
  <c r="D28" i="2"/>
  <c r="D27" i="2"/>
  <c r="D25" i="2"/>
  <c r="D24" i="2"/>
  <c r="D23" i="2"/>
  <c r="D21" i="2"/>
  <c r="D20" i="2"/>
  <c r="D19" i="2"/>
  <c r="D17" i="2"/>
  <c r="D16" i="2"/>
  <c r="D15" i="2"/>
  <c r="D13" i="2"/>
  <c r="D12" i="2"/>
  <c r="D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11" i="2"/>
  <c r="L10" i="9" l="1"/>
</calcChain>
</file>

<file path=xl/sharedStrings.xml><?xml version="1.0" encoding="utf-8"?>
<sst xmlns="http://schemas.openxmlformats.org/spreadsheetml/2006/main" count="1708" uniqueCount="98">
  <si>
    <t>ref_area.label</t>
  </si>
  <si>
    <t>source.label</t>
  </si>
  <si>
    <t>indicator.label</t>
  </si>
  <si>
    <t>sex.label</t>
  </si>
  <si>
    <t>classif1.label</t>
  </si>
  <si>
    <t>classif2.label</t>
  </si>
  <si>
    <t>time</t>
  </si>
  <si>
    <t>obs_value</t>
  </si>
  <si>
    <t>obs_status.label</t>
  </si>
  <si>
    <t>note_classif.label</t>
  </si>
  <si>
    <t>note_indicator.label</t>
  </si>
  <si>
    <t>note_source.label</t>
  </si>
  <si>
    <t>Indonesia</t>
  </si>
  <si>
    <t>LFS - National Labour Force Survey</t>
  </si>
  <si>
    <t>Employment by sex, age and occupation (thousands)</t>
  </si>
  <si>
    <t>Total</t>
  </si>
  <si>
    <t>Age (Youth, adults): 15-64</t>
  </si>
  <si>
    <t>Occupation (Skill level): Total</t>
  </si>
  <si>
    <t>2023</t>
  </si>
  <si>
    <t>Repository: ILO-STATISTICS - Micro data processing</t>
  </si>
  <si>
    <t>Occupation (Skill level): Skill levels 3 and 4 ~ high</t>
  </si>
  <si>
    <t>Occupation (Skill level): Skill level 2 ~ medium</t>
  </si>
  <si>
    <t>Occupation (Skill level): Skill level 1 ~ low</t>
  </si>
  <si>
    <t>Occupation (Skill level): Not elsewhere classified</t>
  </si>
  <si>
    <t>Male</t>
  </si>
  <si>
    <t>Female</t>
  </si>
  <si>
    <t>2022</t>
  </si>
  <si>
    <t>2021</t>
  </si>
  <si>
    <t>Break in series</t>
  </si>
  <si>
    <t>Break in series: Methodology revised</t>
  </si>
  <si>
    <t>2020</t>
  </si>
  <si>
    <t>2019</t>
  </si>
  <si>
    <t>2017</t>
  </si>
  <si>
    <t>2016</t>
  </si>
  <si>
    <t>2015</t>
  </si>
  <si>
    <t>2014</t>
  </si>
  <si>
    <t>2013</t>
  </si>
  <si>
    <t>Region:</t>
  </si>
  <si>
    <t>Source:</t>
  </si>
  <si>
    <t>LFS - International Labour Force Survey (from ILOSTAT database)</t>
  </si>
  <si>
    <t>(surveyed from 2013-2023)</t>
  </si>
  <si>
    <t>Gender</t>
  </si>
  <si>
    <t>Constraints:</t>
  </si>
  <si>
    <t>- Age restricted to a range from 15-64 (working age / usia kerja)</t>
  </si>
  <si>
    <t>Occupation (by skill level)</t>
  </si>
  <si>
    <t>Labour</t>
  </si>
  <si>
    <t>1. Skill Level 3 / 4 --&gt; …</t>
  </si>
  <si>
    <t>2. Skill Level 2 --&gt; …</t>
  </si>
  <si>
    <t>3. Skill Level 1 --&gt; …</t>
  </si>
  <si>
    <t>OCCUPATION</t>
  </si>
  <si>
    <t>GENDER</t>
  </si>
  <si>
    <t>0 = Male</t>
  </si>
  <si>
    <t>1 = Female</t>
  </si>
  <si>
    <t>G</t>
  </si>
  <si>
    <t>O</t>
  </si>
  <si>
    <t>No</t>
  </si>
  <si>
    <t>x1 (Gender)</t>
  </si>
  <si>
    <t>x2 (Occupation by skill level)</t>
  </si>
  <si>
    <t>y (Labour)</t>
  </si>
  <si>
    <t>x3 (Time)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</si>
  <si>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</si>
  <si>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</si>
  <si>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</si>
  <si>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</si>
  <si>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</si>
  <si>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</si>
  <si>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</si>
  <si>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</si>
  <si>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</si>
  <si>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</si>
  <si>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</si>
  <si>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</si>
  <si>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</si>
  <si>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</si>
  <si>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</si>
  <si>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</si>
  <si>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</si>
  <si>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</si>
  <si>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</si>
  <si>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</si>
  <si>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</si>
  <si>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</si>
  <si>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</si>
  <si>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Skill_Medium</t>
  </si>
  <si>
    <t>Skill_High</t>
  </si>
  <si>
    <t>Occupation by skill level</t>
  </si>
  <si>
    <t>x2a (Skill_Medium)</t>
  </si>
  <si>
    <t>x2b (Skill_High)</t>
  </si>
  <si>
    <t>Observations (n)</t>
  </si>
  <si>
    <t xml:space="preserve">Observations (n) = </t>
  </si>
  <si>
    <t>Jumlah Variabel X (k) =</t>
  </si>
  <si>
    <t>Rata-rata Y Aktual =</t>
  </si>
  <si>
    <t>Y Prediksi</t>
  </si>
  <si>
    <t>SST (Total Error Data Asli)</t>
  </si>
  <si>
    <t>SSE (Sisa Error Setelah Pakai Model)</t>
  </si>
  <si>
    <t>Jumlah Variabel X (k)</t>
  </si>
  <si>
    <t>df Total</t>
  </si>
  <si>
    <t>df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</si>
</sst>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quotePrefix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51"/>
  <sheetViews>
    <sheetView topLeftCell="C1" workbookViewId="0">
      <selection activeCell="E149" sqref="E149"/>
    </sheetView>
  </sheetViews>
  <sheetFormatPr defaultRowHeight="14.5" x14ac:dyDescent="0.35"/>
  <cols>
    <col min="1" max="1" width="12.54296875" bestFit="1" customWidth="1"/>
    <col min="2" max="2" width="29.6328125" bestFit="1" customWidth="1"/>
    <col min="3" max="3" width="44.36328125" bestFit="1" customWidth="1"/>
    <col min="4" max="4" width="8.36328125" bestFit="1" customWidth="1"/>
    <col min="5" max="5" width="22.08984375" bestFit="1" customWidth="1"/>
    <col min="6" max="6" width="40.6328125" bestFit="1" customWidth="1"/>
    <col min="8" max="8" width="11" bestFit="1" customWidth="1"/>
    <col min="9" max="9" width="14.6328125" bestFit="1" customWidth="1"/>
    <col min="10" max="10" width="15.54296875" bestFit="1" customWidth="1"/>
    <col min="11" max="11" width="31.36328125" bestFit="1" customWidth="1"/>
    <col min="12" max="12" width="43.5429687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129925.561</v>
      </c>
      <c r="L2" t="s">
        <v>19</v>
      </c>
    </row>
    <row r="3" spans="1:12" hidden="1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20</v>
      </c>
      <c r="G3" t="s">
        <v>18</v>
      </c>
      <c r="H3">
        <v>15124.014999999999</v>
      </c>
      <c r="L3" t="s">
        <v>19</v>
      </c>
    </row>
    <row r="4" spans="1:12" hidden="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21</v>
      </c>
      <c r="G4" t="s">
        <v>18</v>
      </c>
      <c r="H4">
        <v>88703.934999999998</v>
      </c>
      <c r="L4" t="s">
        <v>19</v>
      </c>
    </row>
    <row r="5" spans="1:12" hidden="1" x14ac:dyDescent="0.3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 t="s">
        <v>18</v>
      </c>
      <c r="H5">
        <v>25557.851999999999</v>
      </c>
      <c r="L5" t="s">
        <v>19</v>
      </c>
    </row>
    <row r="6" spans="1:12" hidden="1" x14ac:dyDescent="0.3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23</v>
      </c>
      <c r="G6" t="s">
        <v>18</v>
      </c>
      <c r="H6">
        <v>539.76</v>
      </c>
      <c r="L6" t="s">
        <v>19</v>
      </c>
    </row>
    <row r="7" spans="1:12" hidden="1" x14ac:dyDescent="0.35">
      <c r="A7" t="s">
        <v>12</v>
      </c>
      <c r="B7" t="s">
        <v>13</v>
      </c>
      <c r="C7" t="s">
        <v>14</v>
      </c>
      <c r="D7" t="s">
        <v>24</v>
      </c>
      <c r="E7" t="s">
        <v>16</v>
      </c>
      <c r="F7" t="s">
        <v>17</v>
      </c>
      <c r="G7" t="s">
        <v>18</v>
      </c>
      <c r="H7">
        <v>79027.732000000004</v>
      </c>
      <c r="L7" t="s">
        <v>19</v>
      </c>
    </row>
    <row r="8" spans="1:12" x14ac:dyDescent="0.35">
      <c r="A8" t="s">
        <v>12</v>
      </c>
      <c r="B8" t="s">
        <v>13</v>
      </c>
      <c r="C8" t="s">
        <v>14</v>
      </c>
      <c r="D8" t="s">
        <v>24</v>
      </c>
      <c r="E8" t="s">
        <v>16</v>
      </c>
      <c r="F8" t="s">
        <v>20</v>
      </c>
      <c r="G8" t="s">
        <v>18</v>
      </c>
      <c r="H8">
        <v>7911.1139999999996</v>
      </c>
      <c r="L8" t="s">
        <v>19</v>
      </c>
    </row>
    <row r="9" spans="1:12" x14ac:dyDescent="0.35">
      <c r="A9" t="s">
        <v>12</v>
      </c>
      <c r="B9" t="s">
        <v>13</v>
      </c>
      <c r="C9" t="s">
        <v>14</v>
      </c>
      <c r="D9" t="s">
        <v>24</v>
      </c>
      <c r="E9" t="s">
        <v>16</v>
      </c>
      <c r="F9" t="s">
        <v>21</v>
      </c>
      <c r="G9" t="s">
        <v>18</v>
      </c>
      <c r="H9">
        <v>53195.45</v>
      </c>
      <c r="L9" t="s">
        <v>19</v>
      </c>
    </row>
    <row r="10" spans="1:12" x14ac:dyDescent="0.35">
      <c r="A10" t="s">
        <v>12</v>
      </c>
      <c r="B10" t="s">
        <v>13</v>
      </c>
      <c r="C10" t="s">
        <v>14</v>
      </c>
      <c r="D10" t="s">
        <v>24</v>
      </c>
      <c r="E10" t="s">
        <v>16</v>
      </c>
      <c r="F10" t="s">
        <v>22</v>
      </c>
      <c r="G10" t="s">
        <v>18</v>
      </c>
      <c r="H10">
        <v>17413.935000000001</v>
      </c>
      <c r="L10" t="s">
        <v>19</v>
      </c>
    </row>
    <row r="11" spans="1:12" x14ac:dyDescent="0.35">
      <c r="A11" t="s">
        <v>12</v>
      </c>
      <c r="B11" t="s">
        <v>13</v>
      </c>
      <c r="C11" t="s">
        <v>14</v>
      </c>
      <c r="D11" t="s">
        <v>24</v>
      </c>
      <c r="E11" t="s">
        <v>16</v>
      </c>
      <c r="F11" t="s">
        <v>23</v>
      </c>
      <c r="G11" t="s">
        <v>18</v>
      </c>
      <c r="H11">
        <v>507.233</v>
      </c>
      <c r="L11" t="s">
        <v>19</v>
      </c>
    </row>
    <row r="12" spans="1:12" hidden="1" x14ac:dyDescent="0.35">
      <c r="A12" t="s">
        <v>12</v>
      </c>
      <c r="B12" t="s">
        <v>13</v>
      </c>
      <c r="C12" t="s">
        <v>14</v>
      </c>
      <c r="D12" t="s">
        <v>25</v>
      </c>
      <c r="E12" t="s">
        <v>16</v>
      </c>
      <c r="F12" t="s">
        <v>17</v>
      </c>
      <c r="G12" t="s">
        <v>18</v>
      </c>
      <c r="H12">
        <v>50897.828000000001</v>
      </c>
      <c r="L12" t="s">
        <v>19</v>
      </c>
    </row>
    <row r="13" spans="1:12" x14ac:dyDescent="0.35">
      <c r="A13" t="s">
        <v>12</v>
      </c>
      <c r="B13" t="s">
        <v>13</v>
      </c>
      <c r="C13" t="s">
        <v>14</v>
      </c>
      <c r="D13" t="s">
        <v>25</v>
      </c>
      <c r="E13" t="s">
        <v>16</v>
      </c>
      <c r="F13" t="s">
        <v>20</v>
      </c>
      <c r="G13" t="s">
        <v>18</v>
      </c>
      <c r="H13">
        <v>7212.9009999999998</v>
      </c>
      <c r="L13" t="s">
        <v>19</v>
      </c>
    </row>
    <row r="14" spans="1:12" x14ac:dyDescent="0.35">
      <c r="A14" t="s">
        <v>12</v>
      </c>
      <c r="B14" t="s">
        <v>13</v>
      </c>
      <c r="C14" t="s">
        <v>14</v>
      </c>
      <c r="D14" t="s">
        <v>25</v>
      </c>
      <c r="E14" t="s">
        <v>16</v>
      </c>
      <c r="F14" t="s">
        <v>21</v>
      </c>
      <c r="G14" t="s">
        <v>18</v>
      </c>
      <c r="H14">
        <v>35508.483999999997</v>
      </c>
      <c r="L14" t="s">
        <v>19</v>
      </c>
    </row>
    <row r="15" spans="1:12" x14ac:dyDescent="0.35">
      <c r="A15" t="s">
        <v>12</v>
      </c>
      <c r="B15" t="s">
        <v>13</v>
      </c>
      <c r="C15" t="s">
        <v>14</v>
      </c>
      <c r="D15" t="s">
        <v>25</v>
      </c>
      <c r="E15" t="s">
        <v>16</v>
      </c>
      <c r="F15" t="s">
        <v>22</v>
      </c>
      <c r="G15" t="s">
        <v>18</v>
      </c>
      <c r="H15">
        <v>8143.9160000000002</v>
      </c>
      <c r="L15" t="s">
        <v>19</v>
      </c>
    </row>
    <row r="16" spans="1:12" x14ac:dyDescent="0.35">
      <c r="A16" t="s">
        <v>12</v>
      </c>
      <c r="B16" t="s">
        <v>13</v>
      </c>
      <c r="C16" t="s">
        <v>14</v>
      </c>
      <c r="D16" t="s">
        <v>25</v>
      </c>
      <c r="E16" t="s">
        <v>16</v>
      </c>
      <c r="F16" t="s">
        <v>23</v>
      </c>
      <c r="G16" t="s">
        <v>18</v>
      </c>
      <c r="H16">
        <v>32.526000000000003</v>
      </c>
      <c r="L16" t="s">
        <v>19</v>
      </c>
    </row>
    <row r="17" spans="1:12" hidden="1" x14ac:dyDescent="0.3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26</v>
      </c>
      <c r="H17">
        <v>126312.394</v>
      </c>
      <c r="L17" t="s">
        <v>19</v>
      </c>
    </row>
    <row r="18" spans="1:12" hidden="1" x14ac:dyDescent="0.3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20</v>
      </c>
      <c r="G18" t="s">
        <v>26</v>
      </c>
      <c r="H18">
        <v>14371.471</v>
      </c>
      <c r="L18" t="s">
        <v>19</v>
      </c>
    </row>
    <row r="19" spans="1:12" hidden="1" x14ac:dyDescent="0.3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21</v>
      </c>
      <c r="G19" t="s">
        <v>26</v>
      </c>
      <c r="H19">
        <v>87343.88</v>
      </c>
      <c r="L19" t="s">
        <v>19</v>
      </c>
    </row>
    <row r="20" spans="1:12" hidden="1" x14ac:dyDescent="0.3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22</v>
      </c>
      <c r="G20" t="s">
        <v>26</v>
      </c>
      <c r="H20">
        <v>23989.126</v>
      </c>
      <c r="L20" t="s">
        <v>19</v>
      </c>
    </row>
    <row r="21" spans="1:12" hidden="1" x14ac:dyDescent="0.3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23</v>
      </c>
      <c r="G21" t="s">
        <v>26</v>
      </c>
      <c r="H21">
        <v>607.91700000000003</v>
      </c>
      <c r="L21" t="s">
        <v>19</v>
      </c>
    </row>
    <row r="22" spans="1:12" hidden="1" x14ac:dyDescent="0.35">
      <c r="A22" t="s">
        <v>12</v>
      </c>
      <c r="B22" t="s">
        <v>13</v>
      </c>
      <c r="C22" t="s">
        <v>14</v>
      </c>
      <c r="D22" t="s">
        <v>24</v>
      </c>
      <c r="E22" t="s">
        <v>16</v>
      </c>
      <c r="F22" t="s">
        <v>17</v>
      </c>
      <c r="G22" t="s">
        <v>26</v>
      </c>
      <c r="H22">
        <v>76763.847999999998</v>
      </c>
      <c r="L22" t="s">
        <v>19</v>
      </c>
    </row>
    <row r="23" spans="1:12" x14ac:dyDescent="0.35">
      <c r="A23" t="s">
        <v>12</v>
      </c>
      <c r="B23" t="s">
        <v>13</v>
      </c>
      <c r="C23" t="s">
        <v>14</v>
      </c>
      <c r="D23" t="s">
        <v>24</v>
      </c>
      <c r="E23" t="s">
        <v>16</v>
      </c>
      <c r="F23" t="s">
        <v>20</v>
      </c>
      <c r="G23" t="s">
        <v>26</v>
      </c>
      <c r="H23">
        <v>7592.6880000000001</v>
      </c>
      <c r="L23" t="s">
        <v>19</v>
      </c>
    </row>
    <row r="24" spans="1:12" x14ac:dyDescent="0.35">
      <c r="A24" t="s">
        <v>12</v>
      </c>
      <c r="B24" t="s">
        <v>13</v>
      </c>
      <c r="C24" t="s">
        <v>14</v>
      </c>
      <c r="D24" t="s">
        <v>24</v>
      </c>
      <c r="E24" t="s">
        <v>16</v>
      </c>
      <c r="F24" t="s">
        <v>21</v>
      </c>
      <c r="G24" t="s">
        <v>26</v>
      </c>
      <c r="H24">
        <v>52196.947999999997</v>
      </c>
      <c r="L24" t="s">
        <v>19</v>
      </c>
    </row>
    <row r="25" spans="1:12" x14ac:dyDescent="0.35">
      <c r="A25" t="s">
        <v>12</v>
      </c>
      <c r="B25" t="s">
        <v>13</v>
      </c>
      <c r="C25" t="s">
        <v>14</v>
      </c>
      <c r="D25" t="s">
        <v>24</v>
      </c>
      <c r="E25" t="s">
        <v>16</v>
      </c>
      <c r="F25" t="s">
        <v>22</v>
      </c>
      <c r="G25" t="s">
        <v>26</v>
      </c>
      <c r="H25">
        <v>16392.506000000001</v>
      </c>
      <c r="L25" t="s">
        <v>19</v>
      </c>
    </row>
    <row r="26" spans="1:12" x14ac:dyDescent="0.35">
      <c r="A26" t="s">
        <v>12</v>
      </c>
      <c r="B26" t="s">
        <v>13</v>
      </c>
      <c r="C26" t="s">
        <v>14</v>
      </c>
      <c r="D26" t="s">
        <v>24</v>
      </c>
      <c r="E26" t="s">
        <v>16</v>
      </c>
      <c r="F26" t="s">
        <v>23</v>
      </c>
      <c r="G26" t="s">
        <v>26</v>
      </c>
      <c r="H26">
        <v>581.70600000000002</v>
      </c>
      <c r="L26" t="s">
        <v>19</v>
      </c>
    </row>
    <row r="27" spans="1:12" hidden="1" x14ac:dyDescent="0.35">
      <c r="A27" t="s">
        <v>12</v>
      </c>
      <c r="B27" t="s">
        <v>13</v>
      </c>
      <c r="C27" t="s">
        <v>14</v>
      </c>
      <c r="D27" t="s">
        <v>25</v>
      </c>
      <c r="E27" t="s">
        <v>16</v>
      </c>
      <c r="F27" t="s">
        <v>17</v>
      </c>
      <c r="G27" t="s">
        <v>26</v>
      </c>
      <c r="H27">
        <v>49548.546000000002</v>
      </c>
      <c r="L27" t="s">
        <v>19</v>
      </c>
    </row>
    <row r="28" spans="1:12" x14ac:dyDescent="0.35">
      <c r="A28" t="s">
        <v>12</v>
      </c>
      <c r="B28" t="s">
        <v>13</v>
      </c>
      <c r="C28" t="s">
        <v>14</v>
      </c>
      <c r="D28" t="s">
        <v>25</v>
      </c>
      <c r="E28" t="s">
        <v>16</v>
      </c>
      <c r="F28" t="s">
        <v>20</v>
      </c>
      <c r="G28" t="s">
        <v>26</v>
      </c>
      <c r="H28">
        <v>6778.7820000000002</v>
      </c>
      <c r="L28" t="s">
        <v>19</v>
      </c>
    </row>
    <row r="29" spans="1:12" x14ac:dyDescent="0.35">
      <c r="A29" t="s">
        <v>12</v>
      </c>
      <c r="B29" t="s">
        <v>13</v>
      </c>
      <c r="C29" t="s">
        <v>14</v>
      </c>
      <c r="D29" t="s">
        <v>25</v>
      </c>
      <c r="E29" t="s">
        <v>16</v>
      </c>
      <c r="F29" t="s">
        <v>21</v>
      </c>
      <c r="G29" t="s">
        <v>26</v>
      </c>
      <c r="H29">
        <v>35146.932999999997</v>
      </c>
      <c r="L29" t="s">
        <v>19</v>
      </c>
    </row>
    <row r="30" spans="1:12" x14ac:dyDescent="0.35">
      <c r="A30" t="s">
        <v>12</v>
      </c>
      <c r="B30" t="s">
        <v>13</v>
      </c>
      <c r="C30" t="s">
        <v>14</v>
      </c>
      <c r="D30" t="s">
        <v>25</v>
      </c>
      <c r="E30" t="s">
        <v>16</v>
      </c>
      <c r="F30" t="s">
        <v>22</v>
      </c>
      <c r="G30" t="s">
        <v>26</v>
      </c>
      <c r="H30">
        <v>7596.62</v>
      </c>
      <c r="L30" t="s">
        <v>19</v>
      </c>
    </row>
    <row r="31" spans="1:12" x14ac:dyDescent="0.35">
      <c r="A31" t="s">
        <v>12</v>
      </c>
      <c r="B31" t="s">
        <v>13</v>
      </c>
      <c r="C31" t="s">
        <v>14</v>
      </c>
      <c r="D31" t="s">
        <v>25</v>
      </c>
      <c r="E31" t="s">
        <v>16</v>
      </c>
      <c r="F31" t="s">
        <v>23</v>
      </c>
      <c r="G31" t="s">
        <v>26</v>
      </c>
      <c r="H31">
        <v>26.21</v>
      </c>
      <c r="L31" t="s">
        <v>19</v>
      </c>
    </row>
    <row r="32" spans="1:12" hidden="1" x14ac:dyDescent="0.3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27</v>
      </c>
      <c r="H32">
        <v>122472.436</v>
      </c>
      <c r="I32" t="s">
        <v>28</v>
      </c>
      <c r="K32" t="s">
        <v>29</v>
      </c>
      <c r="L32" t="s">
        <v>19</v>
      </c>
    </row>
    <row r="33" spans="1:12" hidden="1" x14ac:dyDescent="0.3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20</v>
      </c>
      <c r="G33" t="s">
        <v>27</v>
      </c>
      <c r="H33">
        <v>13952.36</v>
      </c>
      <c r="I33" t="s">
        <v>28</v>
      </c>
      <c r="K33" t="s">
        <v>29</v>
      </c>
      <c r="L33" t="s">
        <v>19</v>
      </c>
    </row>
    <row r="34" spans="1:12" hidden="1" x14ac:dyDescent="0.3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21</v>
      </c>
      <c r="G34" t="s">
        <v>27</v>
      </c>
      <c r="H34">
        <v>84662.716</v>
      </c>
      <c r="I34" t="s">
        <v>28</v>
      </c>
      <c r="K34" t="s">
        <v>29</v>
      </c>
      <c r="L34" t="s">
        <v>19</v>
      </c>
    </row>
    <row r="35" spans="1:12" hidden="1" x14ac:dyDescent="0.3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22</v>
      </c>
      <c r="G35" t="s">
        <v>27</v>
      </c>
      <c r="H35">
        <v>23307.759999999998</v>
      </c>
      <c r="I35" t="s">
        <v>28</v>
      </c>
      <c r="K35" t="s">
        <v>29</v>
      </c>
      <c r="L35" t="s">
        <v>19</v>
      </c>
    </row>
    <row r="36" spans="1:12" hidden="1" x14ac:dyDescent="0.35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23</v>
      </c>
      <c r="G36" t="s">
        <v>27</v>
      </c>
      <c r="H36">
        <v>549.6</v>
      </c>
      <c r="I36" t="s">
        <v>28</v>
      </c>
      <c r="K36" t="s">
        <v>29</v>
      </c>
      <c r="L36" t="s">
        <v>19</v>
      </c>
    </row>
    <row r="37" spans="1:12" hidden="1" x14ac:dyDescent="0.35">
      <c r="A37" t="s">
        <v>12</v>
      </c>
      <c r="B37" t="s">
        <v>13</v>
      </c>
      <c r="C37" t="s">
        <v>14</v>
      </c>
      <c r="D37" t="s">
        <v>24</v>
      </c>
      <c r="E37" t="s">
        <v>16</v>
      </c>
      <c r="F37" t="s">
        <v>17</v>
      </c>
      <c r="G37" t="s">
        <v>27</v>
      </c>
      <c r="H37">
        <v>73641.864000000001</v>
      </c>
      <c r="I37" t="s">
        <v>28</v>
      </c>
      <c r="K37" t="s">
        <v>29</v>
      </c>
      <c r="L37" t="s">
        <v>19</v>
      </c>
    </row>
    <row r="38" spans="1:12" x14ac:dyDescent="0.35">
      <c r="A38" t="s">
        <v>12</v>
      </c>
      <c r="B38" t="s">
        <v>13</v>
      </c>
      <c r="C38" t="s">
        <v>14</v>
      </c>
      <c r="D38" t="s">
        <v>24</v>
      </c>
      <c r="E38" t="s">
        <v>16</v>
      </c>
      <c r="F38" t="s">
        <v>20</v>
      </c>
      <c r="G38" t="s">
        <v>27</v>
      </c>
      <c r="H38">
        <v>7300.0709999999999</v>
      </c>
      <c r="I38" t="s">
        <v>28</v>
      </c>
      <c r="K38" t="s">
        <v>29</v>
      </c>
      <c r="L38" t="s">
        <v>19</v>
      </c>
    </row>
    <row r="39" spans="1:12" x14ac:dyDescent="0.35">
      <c r="A39" t="s">
        <v>12</v>
      </c>
      <c r="B39" t="s">
        <v>13</v>
      </c>
      <c r="C39" t="s">
        <v>14</v>
      </c>
      <c r="D39" t="s">
        <v>24</v>
      </c>
      <c r="E39" t="s">
        <v>16</v>
      </c>
      <c r="F39" t="s">
        <v>21</v>
      </c>
      <c r="G39" t="s">
        <v>27</v>
      </c>
      <c r="H39">
        <v>49974.008999999998</v>
      </c>
      <c r="I39" t="s">
        <v>28</v>
      </c>
      <c r="K39" t="s">
        <v>29</v>
      </c>
      <c r="L39" t="s">
        <v>19</v>
      </c>
    </row>
    <row r="40" spans="1:12" x14ac:dyDescent="0.35">
      <c r="A40" t="s">
        <v>12</v>
      </c>
      <c r="B40" t="s">
        <v>13</v>
      </c>
      <c r="C40" t="s">
        <v>14</v>
      </c>
      <c r="D40" t="s">
        <v>24</v>
      </c>
      <c r="E40" t="s">
        <v>16</v>
      </c>
      <c r="F40" t="s">
        <v>22</v>
      </c>
      <c r="G40" t="s">
        <v>27</v>
      </c>
      <c r="H40">
        <v>15840.63</v>
      </c>
      <c r="I40" t="s">
        <v>28</v>
      </c>
      <c r="K40" t="s">
        <v>29</v>
      </c>
      <c r="L40" t="s">
        <v>19</v>
      </c>
    </row>
    <row r="41" spans="1:12" x14ac:dyDescent="0.35">
      <c r="A41" t="s">
        <v>12</v>
      </c>
      <c r="B41" t="s">
        <v>13</v>
      </c>
      <c r="C41" t="s">
        <v>14</v>
      </c>
      <c r="D41" t="s">
        <v>24</v>
      </c>
      <c r="E41" t="s">
        <v>16</v>
      </c>
      <c r="F41" t="s">
        <v>23</v>
      </c>
      <c r="G41" t="s">
        <v>27</v>
      </c>
      <c r="H41">
        <v>527.154</v>
      </c>
      <c r="I41" t="s">
        <v>28</v>
      </c>
      <c r="K41" t="s">
        <v>29</v>
      </c>
      <c r="L41" t="s">
        <v>19</v>
      </c>
    </row>
    <row r="42" spans="1:12" hidden="1" x14ac:dyDescent="0.35">
      <c r="A42" t="s">
        <v>12</v>
      </c>
      <c r="B42" t="s">
        <v>13</v>
      </c>
      <c r="C42" t="s">
        <v>14</v>
      </c>
      <c r="D42" t="s">
        <v>25</v>
      </c>
      <c r="E42" t="s">
        <v>16</v>
      </c>
      <c r="F42" t="s">
        <v>17</v>
      </c>
      <c r="G42" t="s">
        <v>27</v>
      </c>
      <c r="H42">
        <v>48830.571000000004</v>
      </c>
      <c r="I42" t="s">
        <v>28</v>
      </c>
      <c r="K42" t="s">
        <v>29</v>
      </c>
      <c r="L42" t="s">
        <v>19</v>
      </c>
    </row>
    <row r="43" spans="1:12" x14ac:dyDescent="0.35">
      <c r="A43" t="s">
        <v>12</v>
      </c>
      <c r="B43" t="s">
        <v>13</v>
      </c>
      <c r="C43" t="s">
        <v>14</v>
      </c>
      <c r="D43" t="s">
        <v>25</v>
      </c>
      <c r="E43" t="s">
        <v>16</v>
      </c>
      <c r="F43" t="s">
        <v>20</v>
      </c>
      <c r="G43" t="s">
        <v>27</v>
      </c>
      <c r="H43">
        <v>6652.2889999999998</v>
      </c>
      <c r="I43" t="s">
        <v>28</v>
      </c>
      <c r="K43" t="s">
        <v>29</v>
      </c>
      <c r="L43" t="s">
        <v>19</v>
      </c>
    </row>
    <row r="44" spans="1:12" x14ac:dyDescent="0.35">
      <c r="A44" t="s">
        <v>12</v>
      </c>
      <c r="B44" t="s">
        <v>13</v>
      </c>
      <c r="C44" t="s">
        <v>14</v>
      </c>
      <c r="D44" t="s">
        <v>25</v>
      </c>
      <c r="E44" t="s">
        <v>16</v>
      </c>
      <c r="F44" t="s">
        <v>21</v>
      </c>
      <c r="G44" t="s">
        <v>27</v>
      </c>
      <c r="H44">
        <v>34688.707000000002</v>
      </c>
      <c r="I44" t="s">
        <v>28</v>
      </c>
      <c r="K44" t="s">
        <v>29</v>
      </c>
      <c r="L44" t="s">
        <v>19</v>
      </c>
    </row>
    <row r="45" spans="1:12" x14ac:dyDescent="0.35">
      <c r="A45" t="s">
        <v>12</v>
      </c>
      <c r="B45" t="s">
        <v>13</v>
      </c>
      <c r="C45" t="s">
        <v>14</v>
      </c>
      <c r="D45" t="s">
        <v>25</v>
      </c>
      <c r="E45" t="s">
        <v>16</v>
      </c>
      <c r="F45" t="s">
        <v>22</v>
      </c>
      <c r="G45" t="s">
        <v>27</v>
      </c>
      <c r="H45">
        <v>7467.13</v>
      </c>
      <c r="I45" t="s">
        <v>28</v>
      </c>
      <c r="K45" t="s">
        <v>29</v>
      </c>
      <c r="L45" t="s">
        <v>19</v>
      </c>
    </row>
    <row r="46" spans="1:12" x14ac:dyDescent="0.35">
      <c r="A46" t="s">
        <v>12</v>
      </c>
      <c r="B46" t="s">
        <v>13</v>
      </c>
      <c r="C46" t="s">
        <v>14</v>
      </c>
      <c r="D46" t="s">
        <v>25</v>
      </c>
      <c r="E46" t="s">
        <v>16</v>
      </c>
      <c r="F46" t="s">
        <v>23</v>
      </c>
      <c r="G46" t="s">
        <v>27</v>
      </c>
      <c r="H46">
        <v>22.445</v>
      </c>
      <c r="K46" t="s">
        <v>29</v>
      </c>
      <c r="L46" t="s">
        <v>19</v>
      </c>
    </row>
    <row r="47" spans="1:12" hidden="1" x14ac:dyDescent="0.35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30</v>
      </c>
      <c r="H47">
        <v>123162.02800000001</v>
      </c>
      <c r="L47" t="s">
        <v>19</v>
      </c>
    </row>
    <row r="48" spans="1:12" hidden="1" x14ac:dyDescent="0.35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20</v>
      </c>
      <c r="G48" t="s">
        <v>30</v>
      </c>
      <c r="H48">
        <v>14444.843999999999</v>
      </c>
      <c r="L48" t="s">
        <v>19</v>
      </c>
    </row>
    <row r="49" spans="1:12" hidden="1" x14ac:dyDescent="0.3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21</v>
      </c>
      <c r="G49" t="s">
        <v>30</v>
      </c>
      <c r="H49">
        <v>85544.149000000005</v>
      </c>
      <c r="L49" t="s">
        <v>19</v>
      </c>
    </row>
    <row r="50" spans="1:12" hidden="1" x14ac:dyDescent="0.35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22</v>
      </c>
      <c r="G50" t="s">
        <v>30</v>
      </c>
      <c r="H50">
        <v>22627.881000000001</v>
      </c>
      <c r="L50" t="s">
        <v>19</v>
      </c>
    </row>
    <row r="51" spans="1:12" hidden="1" x14ac:dyDescent="0.35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23</v>
      </c>
      <c r="G51" t="s">
        <v>30</v>
      </c>
      <c r="H51">
        <v>545.154</v>
      </c>
      <c r="L51" t="s">
        <v>19</v>
      </c>
    </row>
    <row r="52" spans="1:12" hidden="1" x14ac:dyDescent="0.35">
      <c r="A52" t="s">
        <v>12</v>
      </c>
      <c r="B52" t="s">
        <v>13</v>
      </c>
      <c r="C52" t="s">
        <v>14</v>
      </c>
      <c r="D52" t="s">
        <v>24</v>
      </c>
      <c r="E52" t="s">
        <v>16</v>
      </c>
      <c r="F52" t="s">
        <v>17</v>
      </c>
      <c r="G52" t="s">
        <v>30</v>
      </c>
      <c r="H52">
        <v>74275.010999999999</v>
      </c>
      <c r="L52" t="s">
        <v>19</v>
      </c>
    </row>
    <row r="53" spans="1:12" x14ac:dyDescent="0.35">
      <c r="A53" t="s">
        <v>12</v>
      </c>
      <c r="B53" t="s">
        <v>13</v>
      </c>
      <c r="C53" t="s">
        <v>14</v>
      </c>
      <c r="D53" t="s">
        <v>24</v>
      </c>
      <c r="E53" t="s">
        <v>16</v>
      </c>
      <c r="F53" t="s">
        <v>20</v>
      </c>
      <c r="G53" t="s">
        <v>30</v>
      </c>
      <c r="H53">
        <v>7753.5060000000003</v>
      </c>
      <c r="L53" t="s">
        <v>19</v>
      </c>
    </row>
    <row r="54" spans="1:12" x14ac:dyDescent="0.35">
      <c r="A54" t="s">
        <v>12</v>
      </c>
      <c r="B54" t="s">
        <v>13</v>
      </c>
      <c r="C54" t="s">
        <v>14</v>
      </c>
      <c r="D54" t="s">
        <v>24</v>
      </c>
      <c r="E54" t="s">
        <v>16</v>
      </c>
      <c r="F54" t="s">
        <v>21</v>
      </c>
      <c r="G54" t="s">
        <v>30</v>
      </c>
      <c r="H54">
        <v>50745.207999999999</v>
      </c>
      <c r="L54" t="s">
        <v>19</v>
      </c>
    </row>
    <row r="55" spans="1:12" x14ac:dyDescent="0.35">
      <c r="A55" t="s">
        <v>12</v>
      </c>
      <c r="B55" t="s">
        <v>13</v>
      </c>
      <c r="C55" t="s">
        <v>14</v>
      </c>
      <c r="D55" t="s">
        <v>24</v>
      </c>
      <c r="E55" t="s">
        <v>16</v>
      </c>
      <c r="F55" t="s">
        <v>22</v>
      </c>
      <c r="G55" t="s">
        <v>30</v>
      </c>
      <c r="H55">
        <v>15250.332</v>
      </c>
      <c r="L55" t="s">
        <v>19</v>
      </c>
    </row>
    <row r="56" spans="1:12" x14ac:dyDescent="0.35">
      <c r="A56" t="s">
        <v>12</v>
      </c>
      <c r="B56" t="s">
        <v>13</v>
      </c>
      <c r="C56" t="s">
        <v>14</v>
      </c>
      <c r="D56" t="s">
        <v>24</v>
      </c>
      <c r="E56" t="s">
        <v>16</v>
      </c>
      <c r="F56" t="s">
        <v>23</v>
      </c>
      <c r="G56" t="s">
        <v>30</v>
      </c>
      <c r="H56">
        <v>525.96500000000003</v>
      </c>
      <c r="L56" t="s">
        <v>19</v>
      </c>
    </row>
    <row r="57" spans="1:12" hidden="1" x14ac:dyDescent="0.35">
      <c r="A57" t="s">
        <v>12</v>
      </c>
      <c r="B57" t="s">
        <v>13</v>
      </c>
      <c r="C57" t="s">
        <v>14</v>
      </c>
      <c r="D57" t="s">
        <v>25</v>
      </c>
      <c r="E57" t="s">
        <v>16</v>
      </c>
      <c r="F57" t="s">
        <v>17</v>
      </c>
      <c r="G57" t="s">
        <v>30</v>
      </c>
      <c r="H57">
        <v>48887.016000000003</v>
      </c>
      <c r="L57" t="s">
        <v>19</v>
      </c>
    </row>
    <row r="58" spans="1:12" x14ac:dyDescent="0.35">
      <c r="A58" t="s">
        <v>12</v>
      </c>
      <c r="B58" t="s">
        <v>13</v>
      </c>
      <c r="C58" t="s">
        <v>14</v>
      </c>
      <c r="D58" t="s">
        <v>25</v>
      </c>
      <c r="E58" t="s">
        <v>16</v>
      </c>
      <c r="F58" t="s">
        <v>20</v>
      </c>
      <c r="G58" t="s">
        <v>30</v>
      </c>
      <c r="H58">
        <v>6691.3370000000004</v>
      </c>
      <c r="L58" t="s">
        <v>19</v>
      </c>
    </row>
    <row r="59" spans="1:12" x14ac:dyDescent="0.35">
      <c r="A59" t="s">
        <v>12</v>
      </c>
      <c r="B59" t="s">
        <v>13</v>
      </c>
      <c r="C59" t="s">
        <v>14</v>
      </c>
      <c r="D59" t="s">
        <v>25</v>
      </c>
      <c r="E59" t="s">
        <v>16</v>
      </c>
      <c r="F59" t="s">
        <v>21</v>
      </c>
      <c r="G59" t="s">
        <v>30</v>
      </c>
      <c r="H59">
        <v>34798.94</v>
      </c>
      <c r="L59" t="s">
        <v>19</v>
      </c>
    </row>
    <row r="60" spans="1:12" x14ac:dyDescent="0.35">
      <c r="A60" t="s">
        <v>12</v>
      </c>
      <c r="B60" t="s">
        <v>13</v>
      </c>
      <c r="C60" t="s">
        <v>14</v>
      </c>
      <c r="D60" t="s">
        <v>25</v>
      </c>
      <c r="E60" t="s">
        <v>16</v>
      </c>
      <c r="F60" t="s">
        <v>22</v>
      </c>
      <c r="G60" t="s">
        <v>30</v>
      </c>
      <c r="H60">
        <v>7377.55</v>
      </c>
      <c r="L60" t="s">
        <v>19</v>
      </c>
    </row>
    <row r="61" spans="1:12" x14ac:dyDescent="0.35">
      <c r="A61" t="s">
        <v>12</v>
      </c>
      <c r="B61" t="s">
        <v>13</v>
      </c>
      <c r="C61" t="s">
        <v>14</v>
      </c>
      <c r="D61" t="s">
        <v>25</v>
      </c>
      <c r="E61" t="s">
        <v>16</v>
      </c>
      <c r="F61" t="s">
        <v>23</v>
      </c>
      <c r="G61" t="s">
        <v>30</v>
      </c>
      <c r="H61">
        <v>19.189</v>
      </c>
      <c r="L61" t="s">
        <v>19</v>
      </c>
    </row>
    <row r="62" spans="1:12" hidden="1" x14ac:dyDescent="0.3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31</v>
      </c>
      <c r="H62">
        <v>124303.042</v>
      </c>
      <c r="L62" t="s">
        <v>19</v>
      </c>
    </row>
    <row r="63" spans="1:12" hidden="1" x14ac:dyDescent="0.3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20</v>
      </c>
      <c r="G63" t="s">
        <v>31</v>
      </c>
      <c r="H63">
        <v>14951.575999999999</v>
      </c>
      <c r="L63" t="s">
        <v>19</v>
      </c>
    </row>
    <row r="64" spans="1:12" hidden="1" x14ac:dyDescent="0.35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21</v>
      </c>
      <c r="G64" t="s">
        <v>31</v>
      </c>
      <c r="H64">
        <v>86347.115000000005</v>
      </c>
      <c r="L64" t="s">
        <v>19</v>
      </c>
    </row>
    <row r="65" spans="1:12" hidden="1" x14ac:dyDescent="0.3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22</v>
      </c>
      <c r="G65" t="s">
        <v>31</v>
      </c>
      <c r="H65">
        <v>22433.37</v>
      </c>
      <c r="L65" t="s">
        <v>19</v>
      </c>
    </row>
    <row r="66" spans="1:12" hidden="1" x14ac:dyDescent="0.35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23</v>
      </c>
      <c r="G66" t="s">
        <v>31</v>
      </c>
      <c r="H66">
        <v>570.98</v>
      </c>
      <c r="L66" t="s">
        <v>19</v>
      </c>
    </row>
    <row r="67" spans="1:12" hidden="1" x14ac:dyDescent="0.35">
      <c r="A67" t="s">
        <v>12</v>
      </c>
      <c r="B67" t="s">
        <v>13</v>
      </c>
      <c r="C67" t="s">
        <v>14</v>
      </c>
      <c r="D67" t="s">
        <v>24</v>
      </c>
      <c r="E67" t="s">
        <v>16</v>
      </c>
      <c r="F67" t="s">
        <v>17</v>
      </c>
      <c r="G67" t="s">
        <v>31</v>
      </c>
      <c r="H67">
        <v>75032.567999999999</v>
      </c>
      <c r="L67" t="s">
        <v>19</v>
      </c>
    </row>
    <row r="68" spans="1:12" x14ac:dyDescent="0.35">
      <c r="A68" t="s">
        <v>12</v>
      </c>
      <c r="B68" t="s">
        <v>13</v>
      </c>
      <c r="C68" t="s">
        <v>14</v>
      </c>
      <c r="D68" t="s">
        <v>24</v>
      </c>
      <c r="E68" t="s">
        <v>16</v>
      </c>
      <c r="F68" t="s">
        <v>20</v>
      </c>
      <c r="G68" t="s">
        <v>31</v>
      </c>
      <c r="H68">
        <v>8266.59</v>
      </c>
      <c r="L68" t="s">
        <v>19</v>
      </c>
    </row>
    <row r="69" spans="1:12" x14ac:dyDescent="0.35">
      <c r="A69" t="s">
        <v>12</v>
      </c>
      <c r="B69" t="s">
        <v>13</v>
      </c>
      <c r="C69" t="s">
        <v>14</v>
      </c>
      <c r="D69" t="s">
        <v>24</v>
      </c>
      <c r="E69" t="s">
        <v>16</v>
      </c>
      <c r="F69" t="s">
        <v>21</v>
      </c>
      <c r="G69" t="s">
        <v>31</v>
      </c>
      <c r="H69">
        <v>51043.652999999998</v>
      </c>
      <c r="L69" t="s">
        <v>19</v>
      </c>
    </row>
    <row r="70" spans="1:12" x14ac:dyDescent="0.35">
      <c r="A70" t="s">
        <v>12</v>
      </c>
      <c r="B70" t="s">
        <v>13</v>
      </c>
      <c r="C70" t="s">
        <v>14</v>
      </c>
      <c r="D70" t="s">
        <v>24</v>
      </c>
      <c r="E70" t="s">
        <v>16</v>
      </c>
      <c r="F70" t="s">
        <v>22</v>
      </c>
      <c r="G70" t="s">
        <v>31</v>
      </c>
      <c r="H70">
        <v>15175.546</v>
      </c>
      <c r="L70" t="s">
        <v>19</v>
      </c>
    </row>
    <row r="71" spans="1:12" x14ac:dyDescent="0.35">
      <c r="A71" t="s">
        <v>12</v>
      </c>
      <c r="B71" t="s">
        <v>13</v>
      </c>
      <c r="C71" t="s">
        <v>14</v>
      </c>
      <c r="D71" t="s">
        <v>24</v>
      </c>
      <c r="E71" t="s">
        <v>16</v>
      </c>
      <c r="F71" t="s">
        <v>23</v>
      </c>
      <c r="G71" t="s">
        <v>31</v>
      </c>
      <c r="H71">
        <v>546.78</v>
      </c>
      <c r="L71" t="s">
        <v>19</v>
      </c>
    </row>
    <row r="72" spans="1:12" hidden="1" x14ac:dyDescent="0.35">
      <c r="A72" t="s">
        <v>12</v>
      </c>
      <c r="B72" t="s">
        <v>13</v>
      </c>
      <c r="C72" t="s">
        <v>14</v>
      </c>
      <c r="D72" t="s">
        <v>25</v>
      </c>
      <c r="E72" t="s">
        <v>16</v>
      </c>
      <c r="F72" t="s">
        <v>17</v>
      </c>
      <c r="G72" t="s">
        <v>31</v>
      </c>
      <c r="H72">
        <v>49270.472999999998</v>
      </c>
      <c r="L72" t="s">
        <v>19</v>
      </c>
    </row>
    <row r="73" spans="1:12" x14ac:dyDescent="0.35">
      <c r="A73" t="s">
        <v>12</v>
      </c>
      <c r="B73" t="s">
        <v>13</v>
      </c>
      <c r="C73" t="s">
        <v>14</v>
      </c>
      <c r="D73" t="s">
        <v>25</v>
      </c>
      <c r="E73" t="s">
        <v>16</v>
      </c>
      <c r="F73" t="s">
        <v>20</v>
      </c>
      <c r="G73" t="s">
        <v>31</v>
      </c>
      <c r="H73">
        <v>6684.9870000000001</v>
      </c>
      <c r="L73" t="s">
        <v>19</v>
      </c>
    </row>
    <row r="74" spans="1:12" x14ac:dyDescent="0.35">
      <c r="A74" t="s">
        <v>12</v>
      </c>
      <c r="B74" t="s">
        <v>13</v>
      </c>
      <c r="C74" t="s">
        <v>14</v>
      </c>
      <c r="D74" t="s">
        <v>25</v>
      </c>
      <c r="E74" t="s">
        <v>16</v>
      </c>
      <c r="F74" t="s">
        <v>21</v>
      </c>
      <c r="G74" t="s">
        <v>31</v>
      </c>
      <c r="H74">
        <v>35303.462</v>
      </c>
      <c r="L74" t="s">
        <v>19</v>
      </c>
    </row>
    <row r="75" spans="1:12" x14ac:dyDescent="0.35">
      <c r="A75" t="s">
        <v>12</v>
      </c>
      <c r="B75" t="s">
        <v>13</v>
      </c>
      <c r="C75" t="s">
        <v>14</v>
      </c>
      <c r="D75" t="s">
        <v>25</v>
      </c>
      <c r="E75" t="s">
        <v>16</v>
      </c>
      <c r="F75" t="s">
        <v>22</v>
      </c>
      <c r="G75" t="s">
        <v>31</v>
      </c>
      <c r="H75">
        <v>7257.8230000000003</v>
      </c>
      <c r="L75" t="s">
        <v>19</v>
      </c>
    </row>
    <row r="76" spans="1:12" x14ac:dyDescent="0.35">
      <c r="A76" t="s">
        <v>12</v>
      </c>
      <c r="B76" t="s">
        <v>13</v>
      </c>
      <c r="C76" t="s">
        <v>14</v>
      </c>
      <c r="D76" t="s">
        <v>25</v>
      </c>
      <c r="E76" t="s">
        <v>16</v>
      </c>
      <c r="F76" t="s">
        <v>23</v>
      </c>
      <c r="G76" t="s">
        <v>31</v>
      </c>
      <c r="H76">
        <v>24.201000000000001</v>
      </c>
      <c r="L76" t="s">
        <v>19</v>
      </c>
    </row>
    <row r="77" spans="1:12" hidden="1" x14ac:dyDescent="0.3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32</v>
      </c>
      <c r="H77">
        <v>116714.424</v>
      </c>
      <c r="L77" t="s">
        <v>19</v>
      </c>
    </row>
    <row r="78" spans="1:12" hidden="1" x14ac:dyDescent="0.35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20</v>
      </c>
      <c r="G78" t="s">
        <v>32</v>
      </c>
      <c r="H78">
        <v>13180.269</v>
      </c>
      <c r="L78" t="s">
        <v>19</v>
      </c>
    </row>
    <row r="79" spans="1:12" hidden="1" x14ac:dyDescent="0.3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21</v>
      </c>
      <c r="G79" t="s">
        <v>32</v>
      </c>
      <c r="H79">
        <v>82376.7</v>
      </c>
      <c r="L79" t="s">
        <v>19</v>
      </c>
    </row>
    <row r="80" spans="1:12" hidden="1" x14ac:dyDescent="0.35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22</v>
      </c>
      <c r="G80" t="s">
        <v>32</v>
      </c>
      <c r="H80">
        <v>20533.669000000002</v>
      </c>
      <c r="L80" t="s">
        <v>19</v>
      </c>
    </row>
    <row r="81" spans="1:12" hidden="1" x14ac:dyDescent="0.35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23</v>
      </c>
      <c r="G81" t="s">
        <v>32</v>
      </c>
      <c r="H81">
        <v>623.78700000000003</v>
      </c>
      <c r="L81" t="s">
        <v>19</v>
      </c>
    </row>
    <row r="82" spans="1:12" hidden="1" x14ac:dyDescent="0.35">
      <c r="A82" t="s">
        <v>12</v>
      </c>
      <c r="B82" t="s">
        <v>13</v>
      </c>
      <c r="C82" t="s">
        <v>14</v>
      </c>
      <c r="D82" t="s">
        <v>24</v>
      </c>
      <c r="E82" t="s">
        <v>16</v>
      </c>
      <c r="F82" t="s">
        <v>17</v>
      </c>
      <c r="G82" t="s">
        <v>32</v>
      </c>
      <c r="H82">
        <v>70991.614000000001</v>
      </c>
      <c r="L82" t="s">
        <v>19</v>
      </c>
    </row>
    <row r="83" spans="1:12" x14ac:dyDescent="0.35">
      <c r="A83" t="s">
        <v>12</v>
      </c>
      <c r="B83" t="s">
        <v>13</v>
      </c>
      <c r="C83" t="s">
        <v>14</v>
      </c>
      <c r="D83" t="s">
        <v>24</v>
      </c>
      <c r="E83" t="s">
        <v>16</v>
      </c>
      <c r="F83" t="s">
        <v>20</v>
      </c>
      <c r="G83" t="s">
        <v>32</v>
      </c>
      <c r="H83">
        <v>7210.2340000000004</v>
      </c>
      <c r="L83" t="s">
        <v>19</v>
      </c>
    </row>
    <row r="84" spans="1:12" x14ac:dyDescent="0.35">
      <c r="A84" t="s">
        <v>12</v>
      </c>
      <c r="B84" t="s">
        <v>13</v>
      </c>
      <c r="C84" t="s">
        <v>14</v>
      </c>
      <c r="D84" t="s">
        <v>24</v>
      </c>
      <c r="E84" t="s">
        <v>16</v>
      </c>
      <c r="F84" t="s">
        <v>21</v>
      </c>
      <c r="G84" t="s">
        <v>32</v>
      </c>
      <c r="H84">
        <v>49277.485999999997</v>
      </c>
      <c r="L84" t="s">
        <v>19</v>
      </c>
    </row>
    <row r="85" spans="1:12" x14ac:dyDescent="0.35">
      <c r="A85" t="s">
        <v>12</v>
      </c>
      <c r="B85" t="s">
        <v>13</v>
      </c>
      <c r="C85" t="s">
        <v>14</v>
      </c>
      <c r="D85" t="s">
        <v>24</v>
      </c>
      <c r="E85" t="s">
        <v>16</v>
      </c>
      <c r="F85" t="s">
        <v>22</v>
      </c>
      <c r="G85" t="s">
        <v>32</v>
      </c>
      <c r="H85">
        <v>13909.404</v>
      </c>
      <c r="L85" t="s">
        <v>19</v>
      </c>
    </row>
    <row r="86" spans="1:12" x14ac:dyDescent="0.35">
      <c r="A86" t="s">
        <v>12</v>
      </c>
      <c r="B86" t="s">
        <v>13</v>
      </c>
      <c r="C86" t="s">
        <v>14</v>
      </c>
      <c r="D86" t="s">
        <v>24</v>
      </c>
      <c r="E86" t="s">
        <v>16</v>
      </c>
      <c r="F86" t="s">
        <v>23</v>
      </c>
      <c r="G86" t="s">
        <v>32</v>
      </c>
      <c r="H86">
        <v>594.49099999999999</v>
      </c>
      <c r="L86" t="s">
        <v>19</v>
      </c>
    </row>
    <row r="87" spans="1:12" hidden="1" x14ac:dyDescent="0.35">
      <c r="A87" t="s">
        <v>12</v>
      </c>
      <c r="B87" t="s">
        <v>13</v>
      </c>
      <c r="C87" t="s">
        <v>14</v>
      </c>
      <c r="D87" t="s">
        <v>25</v>
      </c>
      <c r="E87" t="s">
        <v>16</v>
      </c>
      <c r="F87" t="s">
        <v>17</v>
      </c>
      <c r="G87" t="s">
        <v>32</v>
      </c>
      <c r="H87">
        <v>45722.81</v>
      </c>
      <c r="L87" t="s">
        <v>19</v>
      </c>
    </row>
    <row r="88" spans="1:12" x14ac:dyDescent="0.35">
      <c r="A88" t="s">
        <v>12</v>
      </c>
      <c r="B88" t="s">
        <v>13</v>
      </c>
      <c r="C88" t="s">
        <v>14</v>
      </c>
      <c r="D88" t="s">
        <v>25</v>
      </c>
      <c r="E88" t="s">
        <v>16</v>
      </c>
      <c r="F88" t="s">
        <v>20</v>
      </c>
      <c r="G88" t="s">
        <v>32</v>
      </c>
      <c r="H88">
        <v>5970.0360000000001</v>
      </c>
      <c r="L88" t="s">
        <v>19</v>
      </c>
    </row>
    <row r="89" spans="1:12" x14ac:dyDescent="0.35">
      <c r="A89" t="s">
        <v>12</v>
      </c>
      <c r="B89" t="s">
        <v>13</v>
      </c>
      <c r="C89" t="s">
        <v>14</v>
      </c>
      <c r="D89" t="s">
        <v>25</v>
      </c>
      <c r="E89" t="s">
        <v>16</v>
      </c>
      <c r="F89" t="s">
        <v>21</v>
      </c>
      <c r="G89" t="s">
        <v>32</v>
      </c>
      <c r="H89">
        <v>33099.213000000003</v>
      </c>
      <c r="L89" t="s">
        <v>19</v>
      </c>
    </row>
    <row r="90" spans="1:12" x14ac:dyDescent="0.35">
      <c r="A90" t="s">
        <v>12</v>
      </c>
      <c r="B90" t="s">
        <v>13</v>
      </c>
      <c r="C90" t="s">
        <v>14</v>
      </c>
      <c r="D90" t="s">
        <v>25</v>
      </c>
      <c r="E90" t="s">
        <v>16</v>
      </c>
      <c r="F90" t="s">
        <v>22</v>
      </c>
      <c r="G90" t="s">
        <v>32</v>
      </c>
      <c r="H90">
        <v>6624.2659999999996</v>
      </c>
      <c r="L90" t="s">
        <v>19</v>
      </c>
    </row>
    <row r="91" spans="1:12" x14ac:dyDescent="0.35">
      <c r="A91" t="s">
        <v>12</v>
      </c>
      <c r="B91" t="s">
        <v>13</v>
      </c>
      <c r="C91" t="s">
        <v>14</v>
      </c>
      <c r="D91" t="s">
        <v>25</v>
      </c>
      <c r="E91" t="s">
        <v>16</v>
      </c>
      <c r="F91" t="s">
        <v>23</v>
      </c>
      <c r="G91" t="s">
        <v>32</v>
      </c>
      <c r="H91">
        <v>29.295999999999999</v>
      </c>
      <c r="L91" t="s">
        <v>19</v>
      </c>
    </row>
    <row r="92" spans="1:12" hidden="1" x14ac:dyDescent="0.35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33</v>
      </c>
      <c r="H92">
        <v>113905.344</v>
      </c>
      <c r="L92" t="s">
        <v>19</v>
      </c>
    </row>
    <row r="93" spans="1:12" hidden="1" x14ac:dyDescent="0.35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20</v>
      </c>
      <c r="G93" t="s">
        <v>33</v>
      </c>
      <c r="H93">
        <v>14551.986000000001</v>
      </c>
      <c r="L93" t="s">
        <v>19</v>
      </c>
    </row>
    <row r="94" spans="1:12" hidden="1" x14ac:dyDescent="0.35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21</v>
      </c>
      <c r="G94" t="s">
        <v>33</v>
      </c>
      <c r="H94">
        <v>77921.154999999999</v>
      </c>
      <c r="L94" t="s">
        <v>19</v>
      </c>
    </row>
    <row r="95" spans="1:12" hidden="1" x14ac:dyDescent="0.35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22</v>
      </c>
      <c r="G95" t="s">
        <v>33</v>
      </c>
      <c r="H95">
        <v>20086.420999999998</v>
      </c>
      <c r="L95" t="s">
        <v>19</v>
      </c>
    </row>
    <row r="96" spans="1:12" hidden="1" x14ac:dyDescent="0.35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23</v>
      </c>
      <c r="G96" t="s">
        <v>33</v>
      </c>
      <c r="H96">
        <v>1345.7819999999999</v>
      </c>
      <c r="L96" t="s">
        <v>19</v>
      </c>
    </row>
    <row r="97" spans="1:12" hidden="1" x14ac:dyDescent="0.35">
      <c r="A97" t="s">
        <v>12</v>
      </c>
      <c r="B97" t="s">
        <v>13</v>
      </c>
      <c r="C97" t="s">
        <v>14</v>
      </c>
      <c r="D97" t="s">
        <v>24</v>
      </c>
      <c r="E97" t="s">
        <v>16</v>
      </c>
      <c r="F97" t="s">
        <v>17</v>
      </c>
      <c r="G97" t="s">
        <v>33</v>
      </c>
      <c r="H97">
        <v>69803.379000000001</v>
      </c>
      <c r="L97" t="s">
        <v>19</v>
      </c>
    </row>
    <row r="98" spans="1:12" x14ac:dyDescent="0.35">
      <c r="A98" t="s">
        <v>12</v>
      </c>
      <c r="B98" t="s">
        <v>13</v>
      </c>
      <c r="C98" t="s">
        <v>14</v>
      </c>
      <c r="D98" t="s">
        <v>24</v>
      </c>
      <c r="E98" t="s">
        <v>16</v>
      </c>
      <c r="F98" t="s">
        <v>20</v>
      </c>
      <c r="G98" t="s">
        <v>33</v>
      </c>
      <c r="H98">
        <v>7496.27</v>
      </c>
      <c r="L98" t="s">
        <v>19</v>
      </c>
    </row>
    <row r="99" spans="1:12" x14ac:dyDescent="0.35">
      <c r="A99" t="s">
        <v>12</v>
      </c>
      <c r="B99" t="s">
        <v>13</v>
      </c>
      <c r="C99" t="s">
        <v>14</v>
      </c>
      <c r="D99" t="s">
        <v>24</v>
      </c>
      <c r="E99" t="s">
        <v>16</v>
      </c>
      <c r="F99" t="s">
        <v>21</v>
      </c>
      <c r="G99" t="s">
        <v>33</v>
      </c>
      <c r="H99">
        <v>47713.982000000004</v>
      </c>
      <c r="L99" t="s">
        <v>19</v>
      </c>
    </row>
    <row r="100" spans="1:12" x14ac:dyDescent="0.35">
      <c r="A100" t="s">
        <v>12</v>
      </c>
      <c r="B100" t="s">
        <v>13</v>
      </c>
      <c r="C100" t="s">
        <v>14</v>
      </c>
      <c r="D100" t="s">
        <v>24</v>
      </c>
      <c r="E100" t="s">
        <v>16</v>
      </c>
      <c r="F100" t="s">
        <v>22</v>
      </c>
      <c r="G100" t="s">
        <v>33</v>
      </c>
      <c r="H100">
        <v>13301.785</v>
      </c>
      <c r="L100" t="s">
        <v>19</v>
      </c>
    </row>
    <row r="101" spans="1:12" x14ac:dyDescent="0.35">
      <c r="A101" t="s">
        <v>12</v>
      </c>
      <c r="B101" t="s">
        <v>13</v>
      </c>
      <c r="C101" t="s">
        <v>14</v>
      </c>
      <c r="D101" t="s">
        <v>24</v>
      </c>
      <c r="E101" t="s">
        <v>16</v>
      </c>
      <c r="F101" t="s">
        <v>23</v>
      </c>
      <c r="G101" t="s">
        <v>33</v>
      </c>
      <c r="H101">
        <v>1291.3420000000001</v>
      </c>
      <c r="L101" t="s">
        <v>19</v>
      </c>
    </row>
    <row r="102" spans="1:12" hidden="1" x14ac:dyDescent="0.35">
      <c r="A102" t="s">
        <v>12</v>
      </c>
      <c r="B102" t="s">
        <v>13</v>
      </c>
      <c r="C102" t="s">
        <v>14</v>
      </c>
      <c r="D102" t="s">
        <v>25</v>
      </c>
      <c r="E102" t="s">
        <v>16</v>
      </c>
      <c r="F102" t="s">
        <v>17</v>
      </c>
      <c r="G102" t="s">
        <v>33</v>
      </c>
      <c r="H102">
        <v>44101.964</v>
      </c>
      <c r="L102" t="s">
        <v>19</v>
      </c>
    </row>
    <row r="103" spans="1:12" x14ac:dyDescent="0.35">
      <c r="A103" t="s">
        <v>12</v>
      </c>
      <c r="B103" t="s">
        <v>13</v>
      </c>
      <c r="C103" t="s">
        <v>14</v>
      </c>
      <c r="D103" t="s">
        <v>25</v>
      </c>
      <c r="E103" t="s">
        <v>16</v>
      </c>
      <c r="F103" t="s">
        <v>20</v>
      </c>
      <c r="G103" t="s">
        <v>33</v>
      </c>
      <c r="H103">
        <v>7055.7160000000003</v>
      </c>
      <c r="L103" t="s">
        <v>19</v>
      </c>
    </row>
    <row r="104" spans="1:12" x14ac:dyDescent="0.35">
      <c r="A104" t="s">
        <v>12</v>
      </c>
      <c r="B104" t="s">
        <v>13</v>
      </c>
      <c r="C104" t="s">
        <v>14</v>
      </c>
      <c r="D104" t="s">
        <v>25</v>
      </c>
      <c r="E104" t="s">
        <v>16</v>
      </c>
      <c r="F104" t="s">
        <v>21</v>
      </c>
      <c r="G104" t="s">
        <v>33</v>
      </c>
      <c r="H104">
        <v>30207.173999999999</v>
      </c>
      <c r="L104" t="s">
        <v>19</v>
      </c>
    </row>
    <row r="105" spans="1:12" x14ac:dyDescent="0.35">
      <c r="A105" t="s">
        <v>12</v>
      </c>
      <c r="B105" t="s">
        <v>13</v>
      </c>
      <c r="C105" t="s">
        <v>14</v>
      </c>
      <c r="D105" t="s">
        <v>25</v>
      </c>
      <c r="E105" t="s">
        <v>16</v>
      </c>
      <c r="F105" t="s">
        <v>22</v>
      </c>
      <c r="G105" t="s">
        <v>33</v>
      </c>
      <c r="H105">
        <v>6784.6360000000004</v>
      </c>
      <c r="L105" t="s">
        <v>19</v>
      </c>
    </row>
    <row r="106" spans="1:12" x14ac:dyDescent="0.35">
      <c r="A106" t="s">
        <v>12</v>
      </c>
      <c r="B106" t="s">
        <v>13</v>
      </c>
      <c r="C106" t="s">
        <v>14</v>
      </c>
      <c r="D106" t="s">
        <v>25</v>
      </c>
      <c r="E106" t="s">
        <v>16</v>
      </c>
      <c r="F106" t="s">
        <v>23</v>
      </c>
      <c r="G106" t="s">
        <v>33</v>
      </c>
      <c r="H106">
        <v>54.439</v>
      </c>
      <c r="L106" t="s">
        <v>19</v>
      </c>
    </row>
    <row r="107" spans="1:12" hidden="1" x14ac:dyDescent="0.35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34</v>
      </c>
      <c r="H107">
        <v>112390.04700000001</v>
      </c>
      <c r="L107" t="s">
        <v>19</v>
      </c>
    </row>
    <row r="108" spans="1:12" hidden="1" x14ac:dyDescent="0.35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20</v>
      </c>
      <c r="G108" t="s">
        <v>34</v>
      </c>
      <c r="H108">
        <v>11397.4</v>
      </c>
      <c r="L108" t="s">
        <v>19</v>
      </c>
    </row>
    <row r="109" spans="1:12" hidden="1" x14ac:dyDescent="0.35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21</v>
      </c>
      <c r="G109" t="s">
        <v>34</v>
      </c>
      <c r="H109">
        <v>80116.073000000004</v>
      </c>
      <c r="L109" t="s">
        <v>19</v>
      </c>
    </row>
    <row r="110" spans="1:12" hidden="1" x14ac:dyDescent="0.3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22</v>
      </c>
      <c r="G110" t="s">
        <v>34</v>
      </c>
      <c r="H110">
        <v>20205.469000000001</v>
      </c>
      <c r="L110" t="s">
        <v>19</v>
      </c>
    </row>
    <row r="111" spans="1:12" hidden="1" x14ac:dyDescent="0.35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23</v>
      </c>
      <c r="G111" t="s">
        <v>34</v>
      </c>
      <c r="H111">
        <v>671.10500000000002</v>
      </c>
      <c r="L111" t="s">
        <v>19</v>
      </c>
    </row>
    <row r="112" spans="1:12" hidden="1" x14ac:dyDescent="0.35">
      <c r="A112" t="s">
        <v>12</v>
      </c>
      <c r="B112" t="s">
        <v>13</v>
      </c>
      <c r="C112" t="s">
        <v>14</v>
      </c>
      <c r="D112" t="s">
        <v>24</v>
      </c>
      <c r="E112" t="s">
        <v>16</v>
      </c>
      <c r="F112" t="s">
        <v>17</v>
      </c>
      <c r="G112" t="s">
        <v>34</v>
      </c>
      <c r="H112">
        <v>69381.849000000002</v>
      </c>
      <c r="L112" t="s">
        <v>19</v>
      </c>
    </row>
    <row r="113" spans="1:12" x14ac:dyDescent="0.35">
      <c r="A113" t="s">
        <v>12</v>
      </c>
      <c r="B113" t="s">
        <v>13</v>
      </c>
      <c r="C113" t="s">
        <v>14</v>
      </c>
      <c r="D113" t="s">
        <v>24</v>
      </c>
      <c r="E113" t="s">
        <v>16</v>
      </c>
      <c r="F113" t="s">
        <v>20</v>
      </c>
      <c r="G113" t="s">
        <v>34</v>
      </c>
      <c r="H113">
        <v>6260.3050000000003</v>
      </c>
      <c r="L113" t="s">
        <v>19</v>
      </c>
    </row>
    <row r="114" spans="1:12" x14ac:dyDescent="0.35">
      <c r="A114" t="s">
        <v>12</v>
      </c>
      <c r="B114" t="s">
        <v>13</v>
      </c>
      <c r="C114" t="s">
        <v>14</v>
      </c>
      <c r="D114" t="s">
        <v>24</v>
      </c>
      <c r="E114" t="s">
        <v>16</v>
      </c>
      <c r="F114" t="s">
        <v>21</v>
      </c>
      <c r="G114" t="s">
        <v>34</v>
      </c>
      <c r="H114">
        <v>48491.731</v>
      </c>
      <c r="L114" t="s">
        <v>19</v>
      </c>
    </row>
    <row r="115" spans="1:12" x14ac:dyDescent="0.35">
      <c r="A115" t="s">
        <v>12</v>
      </c>
      <c r="B115" t="s">
        <v>13</v>
      </c>
      <c r="C115" t="s">
        <v>14</v>
      </c>
      <c r="D115" t="s">
        <v>24</v>
      </c>
      <c r="E115" t="s">
        <v>16</v>
      </c>
      <c r="F115" t="s">
        <v>22</v>
      </c>
      <c r="G115" t="s">
        <v>34</v>
      </c>
      <c r="H115">
        <v>13992.143</v>
      </c>
      <c r="L115" t="s">
        <v>19</v>
      </c>
    </row>
    <row r="116" spans="1:12" x14ac:dyDescent="0.35">
      <c r="A116" t="s">
        <v>12</v>
      </c>
      <c r="B116" t="s">
        <v>13</v>
      </c>
      <c r="C116" t="s">
        <v>14</v>
      </c>
      <c r="D116" t="s">
        <v>24</v>
      </c>
      <c r="E116" t="s">
        <v>16</v>
      </c>
      <c r="F116" t="s">
        <v>23</v>
      </c>
      <c r="G116" t="s">
        <v>34</v>
      </c>
      <c r="H116">
        <v>637.66999999999996</v>
      </c>
      <c r="L116" t="s">
        <v>19</v>
      </c>
    </row>
    <row r="117" spans="1:12" hidden="1" x14ac:dyDescent="0.35">
      <c r="A117" t="s">
        <v>12</v>
      </c>
      <c r="B117" t="s">
        <v>13</v>
      </c>
      <c r="C117" t="s">
        <v>14</v>
      </c>
      <c r="D117" t="s">
        <v>25</v>
      </c>
      <c r="E117" t="s">
        <v>16</v>
      </c>
      <c r="F117" t="s">
        <v>17</v>
      </c>
      <c r="G117" t="s">
        <v>34</v>
      </c>
      <c r="H117">
        <v>43008.197999999997</v>
      </c>
      <c r="L117" t="s">
        <v>19</v>
      </c>
    </row>
    <row r="118" spans="1:12" x14ac:dyDescent="0.35">
      <c r="A118" t="s">
        <v>12</v>
      </c>
      <c r="B118" t="s">
        <v>13</v>
      </c>
      <c r="C118" t="s">
        <v>14</v>
      </c>
      <c r="D118" t="s">
        <v>25</v>
      </c>
      <c r="E118" t="s">
        <v>16</v>
      </c>
      <c r="F118" t="s">
        <v>20</v>
      </c>
      <c r="G118" t="s">
        <v>34</v>
      </c>
      <c r="H118">
        <v>5137.0940000000001</v>
      </c>
      <c r="L118" t="s">
        <v>19</v>
      </c>
    </row>
    <row r="119" spans="1:12" x14ac:dyDescent="0.35">
      <c r="A119" t="s">
        <v>12</v>
      </c>
      <c r="B119" t="s">
        <v>13</v>
      </c>
      <c r="C119" t="s">
        <v>14</v>
      </c>
      <c r="D119" t="s">
        <v>25</v>
      </c>
      <c r="E119" t="s">
        <v>16</v>
      </c>
      <c r="F119" t="s">
        <v>21</v>
      </c>
      <c r="G119" t="s">
        <v>34</v>
      </c>
      <c r="H119">
        <v>31624.342000000001</v>
      </c>
      <c r="L119" t="s">
        <v>19</v>
      </c>
    </row>
    <row r="120" spans="1:12" x14ac:dyDescent="0.35">
      <c r="A120" t="s">
        <v>12</v>
      </c>
      <c r="B120" t="s">
        <v>13</v>
      </c>
      <c r="C120" t="s">
        <v>14</v>
      </c>
      <c r="D120" t="s">
        <v>25</v>
      </c>
      <c r="E120" t="s">
        <v>16</v>
      </c>
      <c r="F120" t="s">
        <v>22</v>
      </c>
      <c r="G120" t="s">
        <v>34</v>
      </c>
      <c r="H120">
        <v>6213.326</v>
      </c>
      <c r="L120" t="s">
        <v>19</v>
      </c>
    </row>
    <row r="121" spans="1:12" x14ac:dyDescent="0.35">
      <c r="A121" t="s">
        <v>12</v>
      </c>
      <c r="B121" t="s">
        <v>13</v>
      </c>
      <c r="C121" t="s">
        <v>14</v>
      </c>
      <c r="D121" t="s">
        <v>25</v>
      </c>
      <c r="E121" t="s">
        <v>16</v>
      </c>
      <c r="F121" t="s">
        <v>23</v>
      </c>
      <c r="G121" t="s">
        <v>34</v>
      </c>
      <c r="H121">
        <v>33.433999999999997</v>
      </c>
      <c r="L121" t="s">
        <v>19</v>
      </c>
    </row>
    <row r="122" spans="1:12" hidden="1" x14ac:dyDescent="0.35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35</v>
      </c>
      <c r="H122">
        <v>111288.458</v>
      </c>
      <c r="L122" t="s">
        <v>19</v>
      </c>
    </row>
    <row r="123" spans="1:12" hidden="1" x14ac:dyDescent="0.35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20</v>
      </c>
      <c r="G123" t="s">
        <v>35</v>
      </c>
      <c r="H123">
        <v>10711.332</v>
      </c>
      <c r="L123" t="s">
        <v>19</v>
      </c>
    </row>
    <row r="124" spans="1:12" hidden="1" x14ac:dyDescent="0.35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21</v>
      </c>
      <c r="G124" t="s">
        <v>35</v>
      </c>
      <c r="H124">
        <v>81465.076000000001</v>
      </c>
      <c r="L124" t="s">
        <v>19</v>
      </c>
    </row>
    <row r="125" spans="1:12" hidden="1" x14ac:dyDescent="0.35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22</v>
      </c>
      <c r="G125" t="s">
        <v>35</v>
      </c>
      <c r="H125">
        <v>18492.550999999999</v>
      </c>
      <c r="L125" t="s">
        <v>19</v>
      </c>
    </row>
    <row r="126" spans="1:12" hidden="1" x14ac:dyDescent="0.35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23</v>
      </c>
      <c r="G126" t="s">
        <v>35</v>
      </c>
      <c r="H126">
        <v>619.49900000000002</v>
      </c>
      <c r="L126" t="s">
        <v>19</v>
      </c>
    </row>
    <row r="127" spans="1:12" hidden="1" x14ac:dyDescent="0.35">
      <c r="A127" t="s">
        <v>12</v>
      </c>
      <c r="B127" t="s">
        <v>13</v>
      </c>
      <c r="C127" t="s">
        <v>14</v>
      </c>
      <c r="D127" t="s">
        <v>24</v>
      </c>
      <c r="E127" t="s">
        <v>16</v>
      </c>
      <c r="F127" t="s">
        <v>17</v>
      </c>
      <c r="G127" t="s">
        <v>35</v>
      </c>
      <c r="H127">
        <v>68799.974000000002</v>
      </c>
      <c r="L127" t="s">
        <v>19</v>
      </c>
    </row>
    <row r="128" spans="1:12" x14ac:dyDescent="0.35">
      <c r="A128" t="s">
        <v>12</v>
      </c>
      <c r="B128" t="s">
        <v>13</v>
      </c>
      <c r="C128" t="s">
        <v>14</v>
      </c>
      <c r="D128" t="s">
        <v>24</v>
      </c>
      <c r="E128" t="s">
        <v>16</v>
      </c>
      <c r="F128" t="s">
        <v>20</v>
      </c>
      <c r="G128" t="s">
        <v>35</v>
      </c>
      <c r="H128">
        <v>5856.9459999999999</v>
      </c>
      <c r="L128" t="s">
        <v>19</v>
      </c>
    </row>
    <row r="129" spans="1:12" x14ac:dyDescent="0.35">
      <c r="A129" t="s">
        <v>12</v>
      </c>
      <c r="B129" t="s">
        <v>13</v>
      </c>
      <c r="C129" t="s">
        <v>14</v>
      </c>
      <c r="D129" t="s">
        <v>24</v>
      </c>
      <c r="E129" t="s">
        <v>16</v>
      </c>
      <c r="F129" t="s">
        <v>21</v>
      </c>
      <c r="G129" t="s">
        <v>35</v>
      </c>
      <c r="H129">
        <v>49465.315000000002</v>
      </c>
      <c r="L129" t="s">
        <v>19</v>
      </c>
    </row>
    <row r="130" spans="1:12" x14ac:dyDescent="0.35">
      <c r="A130" t="s">
        <v>12</v>
      </c>
      <c r="B130" t="s">
        <v>13</v>
      </c>
      <c r="C130" t="s">
        <v>14</v>
      </c>
      <c r="D130" t="s">
        <v>24</v>
      </c>
      <c r="E130" t="s">
        <v>16</v>
      </c>
      <c r="F130" t="s">
        <v>22</v>
      </c>
      <c r="G130" t="s">
        <v>35</v>
      </c>
      <c r="H130">
        <v>12882.967000000001</v>
      </c>
      <c r="L130" t="s">
        <v>19</v>
      </c>
    </row>
    <row r="131" spans="1:12" x14ac:dyDescent="0.35">
      <c r="A131" t="s">
        <v>12</v>
      </c>
      <c r="B131" t="s">
        <v>13</v>
      </c>
      <c r="C131" t="s">
        <v>14</v>
      </c>
      <c r="D131" t="s">
        <v>24</v>
      </c>
      <c r="E131" t="s">
        <v>16</v>
      </c>
      <c r="F131" t="s">
        <v>23</v>
      </c>
      <c r="G131" t="s">
        <v>35</v>
      </c>
      <c r="H131">
        <v>594.745</v>
      </c>
      <c r="L131" t="s">
        <v>19</v>
      </c>
    </row>
    <row r="132" spans="1:12" hidden="1" x14ac:dyDescent="0.35">
      <c r="A132" t="s">
        <v>12</v>
      </c>
      <c r="B132" t="s">
        <v>13</v>
      </c>
      <c r="C132" t="s">
        <v>14</v>
      </c>
      <c r="D132" t="s">
        <v>25</v>
      </c>
      <c r="E132" t="s">
        <v>16</v>
      </c>
      <c r="F132" t="s">
        <v>17</v>
      </c>
      <c r="G132" t="s">
        <v>35</v>
      </c>
      <c r="H132">
        <v>42488.483999999997</v>
      </c>
      <c r="L132" t="s">
        <v>19</v>
      </c>
    </row>
    <row r="133" spans="1:12" x14ac:dyDescent="0.35">
      <c r="A133" t="s">
        <v>12</v>
      </c>
      <c r="B133" t="s">
        <v>13</v>
      </c>
      <c r="C133" t="s">
        <v>14</v>
      </c>
      <c r="D133" t="s">
        <v>25</v>
      </c>
      <c r="E133" t="s">
        <v>16</v>
      </c>
      <c r="F133" t="s">
        <v>20</v>
      </c>
      <c r="G133" t="s">
        <v>35</v>
      </c>
      <c r="H133">
        <v>4854.3850000000002</v>
      </c>
      <c r="L133" t="s">
        <v>19</v>
      </c>
    </row>
    <row r="134" spans="1:12" x14ac:dyDescent="0.35">
      <c r="A134" t="s">
        <v>12</v>
      </c>
      <c r="B134" t="s">
        <v>13</v>
      </c>
      <c r="C134" t="s">
        <v>14</v>
      </c>
      <c r="D134" t="s">
        <v>25</v>
      </c>
      <c r="E134" t="s">
        <v>16</v>
      </c>
      <c r="F134" t="s">
        <v>21</v>
      </c>
      <c r="G134" t="s">
        <v>35</v>
      </c>
      <c r="H134">
        <v>31999.760999999999</v>
      </c>
      <c r="L134" t="s">
        <v>19</v>
      </c>
    </row>
    <row r="135" spans="1:12" x14ac:dyDescent="0.35">
      <c r="A135" t="s">
        <v>12</v>
      </c>
      <c r="B135" t="s">
        <v>13</v>
      </c>
      <c r="C135" t="s">
        <v>14</v>
      </c>
      <c r="D135" t="s">
        <v>25</v>
      </c>
      <c r="E135" t="s">
        <v>16</v>
      </c>
      <c r="F135" t="s">
        <v>22</v>
      </c>
      <c r="G135" t="s">
        <v>35</v>
      </c>
      <c r="H135">
        <v>5609.5839999999998</v>
      </c>
      <c r="L135" t="s">
        <v>19</v>
      </c>
    </row>
    <row r="136" spans="1:12" x14ac:dyDescent="0.35">
      <c r="A136" t="s">
        <v>12</v>
      </c>
      <c r="B136" t="s">
        <v>13</v>
      </c>
      <c r="C136" t="s">
        <v>14</v>
      </c>
      <c r="D136" t="s">
        <v>25</v>
      </c>
      <c r="E136" t="s">
        <v>16</v>
      </c>
      <c r="F136" t="s">
        <v>23</v>
      </c>
      <c r="G136" t="s">
        <v>35</v>
      </c>
      <c r="H136">
        <v>24.754000000000001</v>
      </c>
      <c r="L136" t="s">
        <v>19</v>
      </c>
    </row>
    <row r="137" spans="1:12" hidden="1" x14ac:dyDescent="0.35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36</v>
      </c>
      <c r="H137">
        <v>109443.04399999999</v>
      </c>
      <c r="I137" t="s">
        <v>28</v>
      </c>
      <c r="K137" t="s">
        <v>29</v>
      </c>
      <c r="L137" t="s">
        <v>19</v>
      </c>
    </row>
    <row r="138" spans="1:12" hidden="1" x14ac:dyDescent="0.35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20</v>
      </c>
      <c r="G138" t="s">
        <v>36</v>
      </c>
      <c r="H138">
        <v>10312.755999999999</v>
      </c>
      <c r="I138" t="s">
        <v>28</v>
      </c>
      <c r="K138" t="s">
        <v>29</v>
      </c>
      <c r="L138" t="s">
        <v>19</v>
      </c>
    </row>
    <row r="139" spans="1:12" hidden="1" x14ac:dyDescent="0.35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21</v>
      </c>
      <c r="G139" t="s">
        <v>36</v>
      </c>
      <c r="H139">
        <v>80934.133000000002</v>
      </c>
      <c r="I139" t="s">
        <v>28</v>
      </c>
      <c r="K139" t="s">
        <v>29</v>
      </c>
      <c r="L139" t="s">
        <v>19</v>
      </c>
    </row>
    <row r="140" spans="1:12" hidden="1" x14ac:dyDescent="0.35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22</v>
      </c>
      <c r="G140" t="s">
        <v>36</v>
      </c>
      <c r="H140">
        <v>17621.028999999999</v>
      </c>
      <c r="I140" t="s">
        <v>28</v>
      </c>
      <c r="K140" t="s">
        <v>29</v>
      </c>
      <c r="L140" t="s">
        <v>19</v>
      </c>
    </row>
    <row r="141" spans="1:12" hidden="1" x14ac:dyDescent="0.35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23</v>
      </c>
      <c r="G141" t="s">
        <v>36</v>
      </c>
      <c r="H141">
        <v>575.12599999999998</v>
      </c>
      <c r="I141" t="s">
        <v>28</v>
      </c>
      <c r="K141" t="s">
        <v>29</v>
      </c>
      <c r="L141" t="s">
        <v>19</v>
      </c>
    </row>
    <row r="142" spans="1:12" hidden="1" x14ac:dyDescent="0.35">
      <c r="A142" t="s">
        <v>12</v>
      </c>
      <c r="B142" t="s">
        <v>13</v>
      </c>
      <c r="C142" t="s">
        <v>14</v>
      </c>
      <c r="D142" t="s">
        <v>24</v>
      </c>
      <c r="E142" t="s">
        <v>16</v>
      </c>
      <c r="F142" t="s">
        <v>17</v>
      </c>
      <c r="G142" t="s">
        <v>36</v>
      </c>
      <c r="H142">
        <v>67702.058999999994</v>
      </c>
      <c r="I142" t="s">
        <v>28</v>
      </c>
      <c r="K142" t="s">
        <v>29</v>
      </c>
      <c r="L142" t="s">
        <v>19</v>
      </c>
    </row>
    <row r="143" spans="1:12" x14ac:dyDescent="0.35">
      <c r="A143" t="s">
        <v>12</v>
      </c>
      <c r="B143" t="s">
        <v>13</v>
      </c>
      <c r="C143" t="s">
        <v>14</v>
      </c>
      <c r="D143" t="s">
        <v>24</v>
      </c>
      <c r="E143" t="s">
        <v>16</v>
      </c>
      <c r="F143" t="s">
        <v>20</v>
      </c>
      <c r="G143" t="s">
        <v>36</v>
      </c>
      <c r="H143">
        <v>5735.3890000000001</v>
      </c>
      <c r="I143" t="s">
        <v>28</v>
      </c>
      <c r="K143" t="s">
        <v>29</v>
      </c>
      <c r="L143" t="s">
        <v>19</v>
      </c>
    </row>
    <row r="144" spans="1:12" x14ac:dyDescent="0.35">
      <c r="A144" t="s">
        <v>12</v>
      </c>
      <c r="B144" t="s">
        <v>13</v>
      </c>
      <c r="C144" t="s">
        <v>14</v>
      </c>
      <c r="D144" t="s">
        <v>24</v>
      </c>
      <c r="E144" t="s">
        <v>16</v>
      </c>
      <c r="F144" t="s">
        <v>21</v>
      </c>
      <c r="G144" t="s">
        <v>36</v>
      </c>
      <c r="H144">
        <v>49225.752</v>
      </c>
      <c r="I144" t="s">
        <v>28</v>
      </c>
      <c r="K144" t="s">
        <v>29</v>
      </c>
      <c r="L144" t="s">
        <v>19</v>
      </c>
    </row>
    <row r="145" spans="1:12" x14ac:dyDescent="0.35">
      <c r="A145" t="s">
        <v>12</v>
      </c>
      <c r="B145" t="s">
        <v>13</v>
      </c>
      <c r="C145" t="s">
        <v>14</v>
      </c>
      <c r="D145" t="s">
        <v>24</v>
      </c>
      <c r="E145" t="s">
        <v>16</v>
      </c>
      <c r="F145" t="s">
        <v>22</v>
      </c>
      <c r="G145" t="s">
        <v>36</v>
      </c>
      <c r="H145">
        <v>12189.418</v>
      </c>
      <c r="I145" t="s">
        <v>28</v>
      </c>
      <c r="K145" t="s">
        <v>29</v>
      </c>
      <c r="L145" t="s">
        <v>19</v>
      </c>
    </row>
    <row r="146" spans="1:12" x14ac:dyDescent="0.35">
      <c r="A146" t="s">
        <v>12</v>
      </c>
      <c r="B146" t="s">
        <v>13</v>
      </c>
      <c r="C146" t="s">
        <v>14</v>
      </c>
      <c r="D146" t="s">
        <v>24</v>
      </c>
      <c r="E146" t="s">
        <v>16</v>
      </c>
      <c r="F146" t="s">
        <v>23</v>
      </c>
      <c r="G146" t="s">
        <v>36</v>
      </c>
      <c r="H146">
        <v>551.5</v>
      </c>
      <c r="I146" t="s">
        <v>28</v>
      </c>
      <c r="K146" t="s">
        <v>29</v>
      </c>
      <c r="L146" t="s">
        <v>19</v>
      </c>
    </row>
    <row r="147" spans="1:12" hidden="1" x14ac:dyDescent="0.35">
      <c r="A147" t="s">
        <v>12</v>
      </c>
      <c r="B147" t="s">
        <v>13</v>
      </c>
      <c r="C147" t="s">
        <v>14</v>
      </c>
      <c r="D147" t="s">
        <v>25</v>
      </c>
      <c r="E147" t="s">
        <v>16</v>
      </c>
      <c r="F147" t="s">
        <v>17</v>
      </c>
      <c r="G147" t="s">
        <v>36</v>
      </c>
      <c r="H147">
        <v>41740.983999999997</v>
      </c>
      <c r="I147" t="s">
        <v>28</v>
      </c>
      <c r="K147" t="s">
        <v>29</v>
      </c>
      <c r="L147" t="s">
        <v>19</v>
      </c>
    </row>
    <row r="148" spans="1:12" x14ac:dyDescent="0.35">
      <c r="A148" t="s">
        <v>12</v>
      </c>
      <c r="B148" t="s">
        <v>13</v>
      </c>
      <c r="C148" t="s">
        <v>14</v>
      </c>
      <c r="D148" t="s">
        <v>25</v>
      </c>
      <c r="E148" t="s">
        <v>16</v>
      </c>
      <c r="F148" t="s">
        <v>20</v>
      </c>
      <c r="G148" t="s">
        <v>36</v>
      </c>
      <c r="H148">
        <v>4577.366</v>
      </c>
      <c r="I148" t="s">
        <v>28</v>
      </c>
      <c r="K148" t="s">
        <v>29</v>
      </c>
      <c r="L148" t="s">
        <v>19</v>
      </c>
    </row>
    <row r="149" spans="1:12" x14ac:dyDescent="0.35">
      <c r="A149" t="s">
        <v>12</v>
      </c>
      <c r="B149" t="s">
        <v>13</v>
      </c>
      <c r="C149" t="s">
        <v>14</v>
      </c>
      <c r="D149" t="s">
        <v>25</v>
      </c>
      <c r="E149" t="s">
        <v>16</v>
      </c>
      <c r="F149" t="s">
        <v>21</v>
      </c>
      <c r="G149" t="s">
        <v>36</v>
      </c>
      <c r="H149">
        <v>31708.381000000001</v>
      </c>
      <c r="I149" t="s">
        <v>28</v>
      </c>
      <c r="K149" t="s">
        <v>29</v>
      </c>
      <c r="L149" t="s">
        <v>19</v>
      </c>
    </row>
    <row r="150" spans="1:12" x14ac:dyDescent="0.35">
      <c r="A150" t="s">
        <v>12</v>
      </c>
      <c r="B150" t="s">
        <v>13</v>
      </c>
      <c r="C150" t="s">
        <v>14</v>
      </c>
      <c r="D150" t="s">
        <v>25</v>
      </c>
      <c r="E150" t="s">
        <v>16</v>
      </c>
      <c r="F150" t="s">
        <v>22</v>
      </c>
      <c r="G150" t="s">
        <v>36</v>
      </c>
      <c r="H150">
        <v>5431.6109999999999</v>
      </c>
      <c r="I150" t="s">
        <v>28</v>
      </c>
      <c r="K150" t="s">
        <v>29</v>
      </c>
      <c r="L150" t="s">
        <v>19</v>
      </c>
    </row>
    <row r="151" spans="1:12" x14ac:dyDescent="0.35">
      <c r="A151" t="s">
        <v>12</v>
      </c>
      <c r="B151" t="s">
        <v>13</v>
      </c>
      <c r="C151" t="s">
        <v>14</v>
      </c>
      <c r="D151" t="s">
        <v>25</v>
      </c>
      <c r="E151" t="s">
        <v>16</v>
      </c>
      <c r="F151" t="s">
        <v>23</v>
      </c>
      <c r="G151" t="s">
        <v>36</v>
      </c>
      <c r="H151">
        <v>23.625</v>
      </c>
      <c r="I151" t="s">
        <v>28</v>
      </c>
      <c r="K151" t="s">
        <v>29</v>
      </c>
      <c r="L151" t="s">
        <v>19</v>
      </c>
    </row>
  </sheetData>
  <autoFilter ref="A1:L151" xr:uid="{00000000-0001-0000-0000-000000000000}">
    <filterColumn colId="3">
      <filters>
        <filter val="Female"/>
        <filter val="Male"/>
      </filters>
    </filterColumn>
    <filterColumn colId="5">
      <filters>
        <filter val="Occupation (Skill level): Not elsewhere classified"/>
        <filter val="Occupation (Skill level): Skill level 1 ~ low"/>
        <filter val="Occupation (Skill level): Skill level 2 ~ medium"/>
        <filter val="Occupation (Skill level): Skill levels 3 and 4 ~ high"/>
      </filters>
    </filterColumn>
  </autoFilter>
  <sortState xmlns:xlrd2="http://schemas.microsoft.com/office/spreadsheetml/2017/richdata2" ref="A2:L151">
    <sortCondition ref="A1:A1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238F-CA32-4ABF-93C9-EF999FDBEF6D}">
  <sheetPr filterMode="1"/>
  <dimension ref="A1:L90"/>
  <sheetViews>
    <sheetView workbookViewId="0">
      <selection activeCell="D83" sqref="D83"/>
    </sheetView>
  </sheetViews>
  <sheetFormatPr defaultRowHeight="14.5" x14ac:dyDescent="0.35"/>
  <cols>
    <col min="1" max="1" width="11.6328125" customWidth="1"/>
    <col min="2" max="2" width="6.6328125" customWidth="1"/>
    <col min="3" max="3" width="42.453125" customWidth="1"/>
    <col min="4" max="4" width="6.6328125" customWidth="1"/>
    <col min="6" max="6" width="11.6328125" customWidth="1"/>
  </cols>
  <sheetData>
    <row r="1" spans="1:12" x14ac:dyDescent="0.35">
      <c r="A1" s="2" t="s">
        <v>14</v>
      </c>
      <c r="B1" s="2"/>
    </row>
    <row r="2" spans="1:12" x14ac:dyDescent="0.35">
      <c r="H2" s="2" t="s">
        <v>49</v>
      </c>
      <c r="L2" s="2" t="s">
        <v>50</v>
      </c>
    </row>
    <row r="3" spans="1:12" x14ac:dyDescent="0.35">
      <c r="A3" s="2" t="s">
        <v>37</v>
      </c>
      <c r="B3" s="2"/>
      <c r="C3" t="s">
        <v>12</v>
      </c>
      <c r="H3" t="s">
        <v>46</v>
      </c>
      <c r="L3" t="s">
        <v>51</v>
      </c>
    </row>
    <row r="4" spans="1:12" x14ac:dyDescent="0.35">
      <c r="A4" s="2" t="s">
        <v>38</v>
      </c>
      <c r="B4" s="2"/>
      <c r="C4" t="s">
        <v>39</v>
      </c>
      <c r="H4" t="s">
        <v>47</v>
      </c>
      <c r="L4" t="s">
        <v>52</v>
      </c>
    </row>
    <row r="5" spans="1:12" x14ac:dyDescent="0.35">
      <c r="C5" s="3" t="s">
        <v>40</v>
      </c>
      <c r="D5" s="3"/>
      <c r="H5" t="s">
        <v>48</v>
      </c>
    </row>
    <row r="6" spans="1:12" x14ac:dyDescent="0.35">
      <c r="C6" s="3"/>
      <c r="D6" s="3"/>
    </row>
    <row r="7" spans="1:12" x14ac:dyDescent="0.35">
      <c r="A7" s="2" t="s">
        <v>42</v>
      </c>
      <c r="B7" s="2"/>
      <c r="C7" s="4" t="s">
        <v>43</v>
      </c>
      <c r="D7" s="4"/>
    </row>
    <row r="8" spans="1:12" x14ac:dyDescent="0.35">
      <c r="A8" s="2"/>
      <c r="B8" s="2"/>
    </row>
    <row r="10" spans="1:12" x14ac:dyDescent="0.35">
      <c r="A10" s="7" t="s">
        <v>41</v>
      </c>
      <c r="B10" s="7" t="s">
        <v>53</v>
      </c>
      <c r="C10" s="7" t="s">
        <v>44</v>
      </c>
      <c r="D10" s="7" t="s">
        <v>54</v>
      </c>
      <c r="E10" s="7" t="s">
        <v>6</v>
      </c>
      <c r="F10" s="7" t="s">
        <v>45</v>
      </c>
    </row>
    <row r="11" spans="1:12" x14ac:dyDescent="0.35">
      <c r="A11" s="6" t="s">
        <v>24</v>
      </c>
      <c r="B11" s="6">
        <f>IF(A11="Male", 0, 1)</f>
        <v>0</v>
      </c>
      <c r="C11" s="5" t="s">
        <v>20</v>
      </c>
      <c r="D11" s="6">
        <f>IF(ISNUMBER(FIND("3",C11,27)), 3, IF(ISNUMBER(FIND("2",C11,27)), 2, 1))</f>
        <v>3</v>
      </c>
      <c r="E11" s="6" t="s">
        <v>18</v>
      </c>
      <c r="F11" s="5">
        <v>7911.1139999999996</v>
      </c>
    </row>
    <row r="12" spans="1:12" x14ac:dyDescent="0.35">
      <c r="A12" s="6" t="s">
        <v>24</v>
      </c>
      <c r="B12" s="6">
        <f t="shared" ref="B12:B75" si="0">IF(A12="Male", 0, 1)</f>
        <v>0</v>
      </c>
      <c r="C12" s="5" t="s">
        <v>21</v>
      </c>
      <c r="D12" s="6">
        <f t="shared" ref="D12:D13" si="1">IF(ISNUMBER(FIND("3",C12,27)), 3, IF(ISNUMBER(FIND("2",C12,27)), 2, 1))</f>
        <v>2</v>
      </c>
      <c r="E12" s="6" t="s">
        <v>18</v>
      </c>
      <c r="F12" s="5">
        <v>53195.45</v>
      </c>
    </row>
    <row r="13" spans="1:12" x14ac:dyDescent="0.35">
      <c r="A13" s="6" t="s">
        <v>24</v>
      </c>
      <c r="B13" s="6">
        <f t="shared" si="0"/>
        <v>0</v>
      </c>
      <c r="C13" s="5" t="s">
        <v>22</v>
      </c>
      <c r="D13" s="6">
        <f t="shared" si="1"/>
        <v>1</v>
      </c>
      <c r="E13" s="6" t="s">
        <v>18</v>
      </c>
      <c r="F13" s="5">
        <v>17413.935000000001</v>
      </c>
    </row>
    <row r="14" spans="1:12" hidden="1" x14ac:dyDescent="0.35">
      <c r="A14" s="6" t="s">
        <v>24</v>
      </c>
      <c r="B14" s="6">
        <f t="shared" si="0"/>
        <v>0</v>
      </c>
      <c r="C14" s="5" t="s">
        <v>23</v>
      </c>
      <c r="D14" s="5"/>
      <c r="E14" s="5" t="s">
        <v>18</v>
      </c>
      <c r="F14" s="5">
        <v>507.233</v>
      </c>
    </row>
    <row r="15" spans="1:12" x14ac:dyDescent="0.35">
      <c r="A15" s="6" t="s">
        <v>25</v>
      </c>
      <c r="B15" s="6">
        <f t="shared" si="0"/>
        <v>1</v>
      </c>
      <c r="C15" s="5" t="s">
        <v>20</v>
      </c>
      <c r="D15" s="6">
        <f t="shared" ref="D15:D17" si="2">IF(ISNUMBER(FIND("3",C15,27)), 3, IF(ISNUMBER(FIND("2",C15,27)), 2, 1))</f>
        <v>3</v>
      </c>
      <c r="E15" s="6" t="s">
        <v>18</v>
      </c>
      <c r="F15" s="5">
        <v>7212.9009999999998</v>
      </c>
    </row>
    <row r="16" spans="1:12" x14ac:dyDescent="0.35">
      <c r="A16" s="6" t="s">
        <v>25</v>
      </c>
      <c r="B16" s="6">
        <f t="shared" si="0"/>
        <v>1</v>
      </c>
      <c r="C16" s="5" t="s">
        <v>21</v>
      </c>
      <c r="D16" s="6">
        <f t="shared" si="2"/>
        <v>2</v>
      </c>
      <c r="E16" s="6" t="s">
        <v>18</v>
      </c>
      <c r="F16" s="5">
        <v>35508.483999999997</v>
      </c>
    </row>
    <row r="17" spans="1:6" x14ac:dyDescent="0.35">
      <c r="A17" s="6" t="s">
        <v>25</v>
      </c>
      <c r="B17" s="6">
        <f t="shared" si="0"/>
        <v>1</v>
      </c>
      <c r="C17" s="5" t="s">
        <v>22</v>
      </c>
      <c r="D17" s="6">
        <f t="shared" si="2"/>
        <v>1</v>
      </c>
      <c r="E17" s="6" t="s">
        <v>18</v>
      </c>
      <c r="F17" s="5">
        <v>8143.9160000000002</v>
      </c>
    </row>
    <row r="18" spans="1:6" hidden="1" x14ac:dyDescent="0.35">
      <c r="A18" s="6" t="s">
        <v>25</v>
      </c>
      <c r="B18" s="6">
        <f t="shared" si="0"/>
        <v>1</v>
      </c>
      <c r="C18" s="5" t="s">
        <v>23</v>
      </c>
      <c r="D18" s="5"/>
      <c r="E18" s="5" t="s">
        <v>18</v>
      </c>
      <c r="F18" s="5">
        <v>32.526000000000003</v>
      </c>
    </row>
    <row r="19" spans="1:6" x14ac:dyDescent="0.35">
      <c r="A19" s="6" t="s">
        <v>24</v>
      </c>
      <c r="B19" s="6">
        <f t="shared" si="0"/>
        <v>0</v>
      </c>
      <c r="C19" s="5" t="s">
        <v>20</v>
      </c>
      <c r="D19" s="6">
        <f t="shared" ref="D19:D21" si="3">IF(ISNUMBER(FIND("3",C19,27)), 3, IF(ISNUMBER(FIND("2",C19,27)), 2, 1))</f>
        <v>3</v>
      </c>
      <c r="E19" s="6" t="s">
        <v>26</v>
      </c>
      <c r="F19" s="5">
        <v>7592.6880000000001</v>
      </c>
    </row>
    <row r="20" spans="1:6" x14ac:dyDescent="0.35">
      <c r="A20" s="6" t="s">
        <v>24</v>
      </c>
      <c r="B20" s="6">
        <f t="shared" si="0"/>
        <v>0</v>
      </c>
      <c r="C20" s="5" t="s">
        <v>21</v>
      </c>
      <c r="D20" s="6">
        <f t="shared" si="3"/>
        <v>2</v>
      </c>
      <c r="E20" s="6" t="s">
        <v>26</v>
      </c>
      <c r="F20" s="5">
        <v>52196.947999999997</v>
      </c>
    </row>
    <row r="21" spans="1:6" x14ac:dyDescent="0.35">
      <c r="A21" s="6" t="s">
        <v>24</v>
      </c>
      <c r="B21" s="6">
        <f t="shared" si="0"/>
        <v>0</v>
      </c>
      <c r="C21" s="5" t="s">
        <v>22</v>
      </c>
      <c r="D21" s="6">
        <f t="shared" si="3"/>
        <v>1</v>
      </c>
      <c r="E21" s="6" t="s">
        <v>26</v>
      </c>
      <c r="F21" s="5">
        <v>16392.506000000001</v>
      </c>
    </row>
    <row r="22" spans="1:6" hidden="1" x14ac:dyDescent="0.35">
      <c r="A22" s="6" t="s">
        <v>24</v>
      </c>
      <c r="B22" s="6">
        <f t="shared" si="0"/>
        <v>0</v>
      </c>
      <c r="C22" s="5" t="s">
        <v>23</v>
      </c>
      <c r="D22" s="5"/>
      <c r="E22" s="5" t="s">
        <v>26</v>
      </c>
      <c r="F22" s="5">
        <v>581.70600000000002</v>
      </c>
    </row>
    <row r="23" spans="1:6" x14ac:dyDescent="0.35">
      <c r="A23" s="6" t="s">
        <v>25</v>
      </c>
      <c r="B23" s="6">
        <f t="shared" si="0"/>
        <v>1</v>
      </c>
      <c r="C23" s="5" t="s">
        <v>20</v>
      </c>
      <c r="D23" s="6">
        <f t="shared" ref="D23:D25" si="4">IF(ISNUMBER(FIND("3",C23,27)), 3, IF(ISNUMBER(FIND("2",C23,27)), 2, 1))</f>
        <v>3</v>
      </c>
      <c r="E23" s="6" t="s">
        <v>26</v>
      </c>
      <c r="F23" s="5">
        <v>6778.7820000000002</v>
      </c>
    </row>
    <row r="24" spans="1:6" x14ac:dyDescent="0.35">
      <c r="A24" s="6" t="s">
        <v>25</v>
      </c>
      <c r="B24" s="6">
        <f t="shared" si="0"/>
        <v>1</v>
      </c>
      <c r="C24" s="5" t="s">
        <v>21</v>
      </c>
      <c r="D24" s="6">
        <f t="shared" si="4"/>
        <v>2</v>
      </c>
      <c r="E24" s="6" t="s">
        <v>26</v>
      </c>
      <c r="F24" s="5">
        <v>35146.932999999997</v>
      </c>
    </row>
    <row r="25" spans="1:6" x14ac:dyDescent="0.35">
      <c r="A25" s="6" t="s">
        <v>25</v>
      </c>
      <c r="B25" s="6">
        <f t="shared" si="0"/>
        <v>1</v>
      </c>
      <c r="C25" s="5" t="s">
        <v>22</v>
      </c>
      <c r="D25" s="6">
        <f t="shared" si="4"/>
        <v>1</v>
      </c>
      <c r="E25" s="6" t="s">
        <v>26</v>
      </c>
      <c r="F25" s="5">
        <v>7596.62</v>
      </c>
    </row>
    <row r="26" spans="1:6" hidden="1" x14ac:dyDescent="0.35">
      <c r="A26" s="6" t="s">
        <v>25</v>
      </c>
      <c r="B26" s="6">
        <f t="shared" si="0"/>
        <v>1</v>
      </c>
      <c r="C26" s="5" t="s">
        <v>23</v>
      </c>
      <c r="D26" s="5"/>
      <c r="E26" s="5" t="s">
        <v>26</v>
      </c>
      <c r="F26" s="5">
        <v>26.21</v>
      </c>
    </row>
    <row r="27" spans="1:6" x14ac:dyDescent="0.35">
      <c r="A27" s="6" t="s">
        <v>24</v>
      </c>
      <c r="B27" s="6">
        <f t="shared" si="0"/>
        <v>0</v>
      </c>
      <c r="C27" s="5" t="s">
        <v>20</v>
      </c>
      <c r="D27" s="6">
        <f t="shared" ref="D27:D29" si="5">IF(ISNUMBER(FIND("3",C27,27)), 3, IF(ISNUMBER(FIND("2",C27,27)), 2, 1))</f>
        <v>3</v>
      </c>
      <c r="E27" s="6" t="s">
        <v>27</v>
      </c>
      <c r="F27" s="5">
        <v>7300.0709999999999</v>
      </c>
    </row>
    <row r="28" spans="1:6" x14ac:dyDescent="0.35">
      <c r="A28" s="6" t="s">
        <v>24</v>
      </c>
      <c r="B28" s="6">
        <f t="shared" si="0"/>
        <v>0</v>
      </c>
      <c r="C28" s="5" t="s">
        <v>21</v>
      </c>
      <c r="D28" s="6">
        <f t="shared" si="5"/>
        <v>2</v>
      </c>
      <c r="E28" s="6" t="s">
        <v>27</v>
      </c>
      <c r="F28" s="5">
        <v>49974.008999999998</v>
      </c>
    </row>
    <row r="29" spans="1:6" x14ac:dyDescent="0.35">
      <c r="A29" s="6" t="s">
        <v>24</v>
      </c>
      <c r="B29" s="6">
        <f t="shared" si="0"/>
        <v>0</v>
      </c>
      <c r="C29" s="5" t="s">
        <v>22</v>
      </c>
      <c r="D29" s="6">
        <f t="shared" si="5"/>
        <v>1</v>
      </c>
      <c r="E29" s="6" t="s">
        <v>27</v>
      </c>
      <c r="F29" s="5">
        <v>15840.63</v>
      </c>
    </row>
    <row r="30" spans="1:6" hidden="1" x14ac:dyDescent="0.35">
      <c r="A30" s="6" t="s">
        <v>24</v>
      </c>
      <c r="B30" s="6">
        <f t="shared" si="0"/>
        <v>0</v>
      </c>
      <c r="C30" s="5" t="s">
        <v>23</v>
      </c>
      <c r="D30" s="5"/>
      <c r="E30" s="5" t="s">
        <v>27</v>
      </c>
      <c r="F30" s="5">
        <v>527.154</v>
      </c>
    </row>
    <row r="31" spans="1:6" x14ac:dyDescent="0.35">
      <c r="A31" s="6" t="s">
        <v>25</v>
      </c>
      <c r="B31" s="6">
        <f t="shared" si="0"/>
        <v>1</v>
      </c>
      <c r="C31" s="5" t="s">
        <v>20</v>
      </c>
      <c r="D31" s="6">
        <f t="shared" ref="D31:D33" si="6">IF(ISNUMBER(FIND("3",C31,27)), 3, IF(ISNUMBER(FIND("2",C31,27)), 2, 1))</f>
        <v>3</v>
      </c>
      <c r="E31" s="6" t="s">
        <v>27</v>
      </c>
      <c r="F31" s="5">
        <v>6652.2889999999998</v>
      </c>
    </row>
    <row r="32" spans="1:6" x14ac:dyDescent="0.35">
      <c r="A32" s="6" t="s">
        <v>25</v>
      </c>
      <c r="B32" s="6">
        <f t="shared" si="0"/>
        <v>1</v>
      </c>
      <c r="C32" s="5" t="s">
        <v>21</v>
      </c>
      <c r="D32" s="6">
        <f t="shared" si="6"/>
        <v>2</v>
      </c>
      <c r="E32" s="6" t="s">
        <v>27</v>
      </c>
      <c r="F32" s="5">
        <v>34688.707000000002</v>
      </c>
    </row>
    <row r="33" spans="1:6" x14ac:dyDescent="0.35">
      <c r="A33" s="6" t="s">
        <v>25</v>
      </c>
      <c r="B33" s="6">
        <f t="shared" si="0"/>
        <v>1</v>
      </c>
      <c r="C33" s="5" t="s">
        <v>22</v>
      </c>
      <c r="D33" s="6">
        <f t="shared" si="6"/>
        <v>1</v>
      </c>
      <c r="E33" s="6" t="s">
        <v>27</v>
      </c>
      <c r="F33" s="5">
        <v>7467.13</v>
      </c>
    </row>
    <row r="34" spans="1:6" hidden="1" x14ac:dyDescent="0.35">
      <c r="A34" s="6" t="s">
        <v>25</v>
      </c>
      <c r="B34" s="6">
        <f t="shared" si="0"/>
        <v>1</v>
      </c>
      <c r="C34" s="5" t="s">
        <v>23</v>
      </c>
      <c r="D34" s="5"/>
      <c r="E34" s="5" t="s">
        <v>27</v>
      </c>
      <c r="F34" s="5">
        <v>22.445</v>
      </c>
    </row>
    <row r="35" spans="1:6" x14ac:dyDescent="0.35">
      <c r="A35" s="6" t="s">
        <v>24</v>
      </c>
      <c r="B35" s="6">
        <f t="shared" si="0"/>
        <v>0</v>
      </c>
      <c r="C35" s="5" t="s">
        <v>20</v>
      </c>
      <c r="D35" s="6">
        <f t="shared" ref="D35:D37" si="7">IF(ISNUMBER(FIND("3",C35,27)), 3, IF(ISNUMBER(FIND("2",C35,27)), 2, 1))</f>
        <v>3</v>
      </c>
      <c r="E35" s="6" t="s">
        <v>30</v>
      </c>
      <c r="F35" s="5">
        <v>7753.5060000000003</v>
      </c>
    </row>
    <row r="36" spans="1:6" x14ac:dyDescent="0.35">
      <c r="A36" s="6" t="s">
        <v>24</v>
      </c>
      <c r="B36" s="6">
        <f t="shared" si="0"/>
        <v>0</v>
      </c>
      <c r="C36" s="5" t="s">
        <v>21</v>
      </c>
      <c r="D36" s="6">
        <f t="shared" si="7"/>
        <v>2</v>
      </c>
      <c r="E36" s="6" t="s">
        <v>30</v>
      </c>
      <c r="F36" s="5">
        <v>50745.207999999999</v>
      </c>
    </row>
    <row r="37" spans="1:6" x14ac:dyDescent="0.35">
      <c r="A37" s="6" t="s">
        <v>24</v>
      </c>
      <c r="B37" s="6">
        <f t="shared" si="0"/>
        <v>0</v>
      </c>
      <c r="C37" s="5" t="s">
        <v>22</v>
      </c>
      <c r="D37" s="6">
        <f t="shared" si="7"/>
        <v>1</v>
      </c>
      <c r="E37" s="6" t="s">
        <v>30</v>
      </c>
      <c r="F37" s="5">
        <v>15250.332</v>
      </c>
    </row>
    <row r="38" spans="1:6" hidden="1" x14ac:dyDescent="0.35">
      <c r="A38" s="6" t="s">
        <v>24</v>
      </c>
      <c r="B38" s="6">
        <f t="shared" si="0"/>
        <v>0</v>
      </c>
      <c r="C38" s="5" t="s">
        <v>23</v>
      </c>
      <c r="D38" s="5"/>
      <c r="E38" s="5" t="s">
        <v>30</v>
      </c>
      <c r="F38" s="5">
        <v>525.96500000000003</v>
      </c>
    </row>
    <row r="39" spans="1:6" x14ac:dyDescent="0.35">
      <c r="A39" s="6" t="s">
        <v>25</v>
      </c>
      <c r="B39" s="6">
        <f t="shared" si="0"/>
        <v>1</v>
      </c>
      <c r="C39" s="5" t="s">
        <v>20</v>
      </c>
      <c r="D39" s="6">
        <f t="shared" ref="D39:D41" si="8">IF(ISNUMBER(FIND("3",C39,27)), 3, IF(ISNUMBER(FIND("2",C39,27)), 2, 1))</f>
        <v>3</v>
      </c>
      <c r="E39" s="6" t="s">
        <v>30</v>
      </c>
      <c r="F39" s="5">
        <v>6691.3370000000004</v>
      </c>
    </row>
    <row r="40" spans="1:6" x14ac:dyDescent="0.35">
      <c r="A40" s="6" t="s">
        <v>25</v>
      </c>
      <c r="B40" s="6">
        <f t="shared" si="0"/>
        <v>1</v>
      </c>
      <c r="C40" s="5" t="s">
        <v>21</v>
      </c>
      <c r="D40" s="6">
        <f t="shared" si="8"/>
        <v>2</v>
      </c>
      <c r="E40" s="6" t="s">
        <v>30</v>
      </c>
      <c r="F40" s="5">
        <v>34798.94</v>
      </c>
    </row>
    <row r="41" spans="1:6" x14ac:dyDescent="0.35">
      <c r="A41" s="6" t="s">
        <v>25</v>
      </c>
      <c r="B41" s="6">
        <f t="shared" si="0"/>
        <v>1</v>
      </c>
      <c r="C41" s="5" t="s">
        <v>22</v>
      </c>
      <c r="D41" s="6">
        <f t="shared" si="8"/>
        <v>1</v>
      </c>
      <c r="E41" s="6" t="s">
        <v>30</v>
      </c>
      <c r="F41" s="5">
        <v>7377.55</v>
      </c>
    </row>
    <row r="42" spans="1:6" hidden="1" x14ac:dyDescent="0.35">
      <c r="A42" s="6" t="s">
        <v>25</v>
      </c>
      <c r="B42" s="6">
        <f t="shared" si="0"/>
        <v>1</v>
      </c>
      <c r="C42" s="5" t="s">
        <v>23</v>
      </c>
      <c r="D42" s="5"/>
      <c r="E42" s="5" t="s">
        <v>30</v>
      </c>
      <c r="F42" s="5">
        <v>19.189</v>
      </c>
    </row>
    <row r="43" spans="1:6" x14ac:dyDescent="0.35">
      <c r="A43" s="6" t="s">
        <v>24</v>
      </c>
      <c r="B43" s="6">
        <f t="shared" si="0"/>
        <v>0</v>
      </c>
      <c r="C43" s="5" t="s">
        <v>20</v>
      </c>
      <c r="D43" s="6">
        <f t="shared" ref="D43:D45" si="9">IF(ISNUMBER(FIND("3",C43,27)), 3, IF(ISNUMBER(FIND("2",C43,27)), 2, 1))</f>
        <v>3</v>
      </c>
      <c r="E43" s="6" t="s">
        <v>31</v>
      </c>
      <c r="F43" s="5">
        <v>8266.59</v>
      </c>
    </row>
    <row r="44" spans="1:6" x14ac:dyDescent="0.35">
      <c r="A44" s="6" t="s">
        <v>24</v>
      </c>
      <c r="B44" s="6">
        <f t="shared" si="0"/>
        <v>0</v>
      </c>
      <c r="C44" s="5" t="s">
        <v>21</v>
      </c>
      <c r="D44" s="6">
        <f t="shared" si="9"/>
        <v>2</v>
      </c>
      <c r="E44" s="6" t="s">
        <v>31</v>
      </c>
      <c r="F44" s="5">
        <v>51043.652999999998</v>
      </c>
    </row>
    <row r="45" spans="1:6" x14ac:dyDescent="0.35">
      <c r="A45" s="6" t="s">
        <v>24</v>
      </c>
      <c r="B45" s="6">
        <f t="shared" si="0"/>
        <v>0</v>
      </c>
      <c r="C45" s="5" t="s">
        <v>22</v>
      </c>
      <c r="D45" s="6">
        <f t="shared" si="9"/>
        <v>1</v>
      </c>
      <c r="E45" s="6" t="s">
        <v>31</v>
      </c>
      <c r="F45" s="5">
        <v>15175.546</v>
      </c>
    </row>
    <row r="46" spans="1:6" hidden="1" x14ac:dyDescent="0.35">
      <c r="A46" s="6" t="s">
        <v>24</v>
      </c>
      <c r="B46" s="6">
        <f t="shared" si="0"/>
        <v>0</v>
      </c>
      <c r="C46" s="5" t="s">
        <v>23</v>
      </c>
      <c r="D46" s="5"/>
      <c r="E46" s="5" t="s">
        <v>31</v>
      </c>
      <c r="F46" s="5">
        <v>546.78</v>
      </c>
    </row>
    <row r="47" spans="1:6" x14ac:dyDescent="0.35">
      <c r="A47" s="6" t="s">
        <v>25</v>
      </c>
      <c r="B47" s="6">
        <f t="shared" si="0"/>
        <v>1</v>
      </c>
      <c r="C47" s="5" t="s">
        <v>20</v>
      </c>
      <c r="D47" s="6">
        <f t="shared" ref="D47:D49" si="10">IF(ISNUMBER(FIND("3",C47,27)), 3, IF(ISNUMBER(FIND("2",C47,27)), 2, 1))</f>
        <v>3</v>
      </c>
      <c r="E47" s="6" t="s">
        <v>31</v>
      </c>
      <c r="F47" s="5">
        <v>6684.9870000000001</v>
      </c>
    </row>
    <row r="48" spans="1:6" x14ac:dyDescent="0.35">
      <c r="A48" s="6" t="s">
        <v>25</v>
      </c>
      <c r="B48" s="6">
        <f t="shared" si="0"/>
        <v>1</v>
      </c>
      <c r="C48" s="5" t="s">
        <v>21</v>
      </c>
      <c r="D48" s="6">
        <f t="shared" si="10"/>
        <v>2</v>
      </c>
      <c r="E48" s="6" t="s">
        <v>31</v>
      </c>
      <c r="F48" s="5">
        <v>35303.462</v>
      </c>
    </row>
    <row r="49" spans="1:6" x14ac:dyDescent="0.35">
      <c r="A49" s="6" t="s">
        <v>25</v>
      </c>
      <c r="B49" s="6">
        <f t="shared" si="0"/>
        <v>1</v>
      </c>
      <c r="C49" s="5" t="s">
        <v>22</v>
      </c>
      <c r="D49" s="6">
        <f t="shared" si="10"/>
        <v>1</v>
      </c>
      <c r="E49" s="6" t="s">
        <v>31</v>
      </c>
      <c r="F49" s="5">
        <v>7257.8230000000003</v>
      </c>
    </row>
    <row r="50" spans="1:6" hidden="1" x14ac:dyDescent="0.35">
      <c r="A50" s="6" t="s">
        <v>25</v>
      </c>
      <c r="B50" s="6">
        <f t="shared" si="0"/>
        <v>1</v>
      </c>
      <c r="C50" s="5" t="s">
        <v>23</v>
      </c>
      <c r="D50" s="5"/>
      <c r="E50" s="5" t="s">
        <v>31</v>
      </c>
      <c r="F50" s="5">
        <v>24.201000000000001</v>
      </c>
    </row>
    <row r="51" spans="1:6" x14ac:dyDescent="0.35">
      <c r="A51" s="6" t="s">
        <v>24</v>
      </c>
      <c r="B51" s="6">
        <f t="shared" si="0"/>
        <v>0</v>
      </c>
      <c r="C51" s="5" t="s">
        <v>20</v>
      </c>
      <c r="D51" s="6">
        <f t="shared" ref="D51:D53" si="11">IF(ISNUMBER(FIND("3",C51,27)), 3, IF(ISNUMBER(FIND("2",C51,27)), 2, 1))</f>
        <v>3</v>
      </c>
      <c r="E51" s="6" t="s">
        <v>32</v>
      </c>
      <c r="F51" s="5">
        <v>7210.2340000000004</v>
      </c>
    </row>
    <row r="52" spans="1:6" x14ac:dyDescent="0.35">
      <c r="A52" s="6" t="s">
        <v>24</v>
      </c>
      <c r="B52" s="6">
        <f t="shared" si="0"/>
        <v>0</v>
      </c>
      <c r="C52" s="5" t="s">
        <v>21</v>
      </c>
      <c r="D52" s="6">
        <f t="shared" si="11"/>
        <v>2</v>
      </c>
      <c r="E52" s="6" t="s">
        <v>32</v>
      </c>
      <c r="F52" s="5">
        <v>49277.485999999997</v>
      </c>
    </row>
    <row r="53" spans="1:6" x14ac:dyDescent="0.35">
      <c r="A53" s="6" t="s">
        <v>24</v>
      </c>
      <c r="B53" s="6">
        <f t="shared" si="0"/>
        <v>0</v>
      </c>
      <c r="C53" s="5" t="s">
        <v>22</v>
      </c>
      <c r="D53" s="6">
        <f t="shared" si="11"/>
        <v>1</v>
      </c>
      <c r="E53" s="6" t="s">
        <v>32</v>
      </c>
      <c r="F53" s="5">
        <v>13909.404</v>
      </c>
    </row>
    <row r="54" spans="1:6" hidden="1" x14ac:dyDescent="0.35">
      <c r="A54" s="6" t="s">
        <v>24</v>
      </c>
      <c r="B54" s="6">
        <f t="shared" si="0"/>
        <v>0</v>
      </c>
      <c r="C54" s="5" t="s">
        <v>23</v>
      </c>
      <c r="D54" s="5"/>
      <c r="E54" s="5" t="s">
        <v>32</v>
      </c>
      <c r="F54" s="5">
        <v>594.49099999999999</v>
      </c>
    </row>
    <row r="55" spans="1:6" x14ac:dyDescent="0.35">
      <c r="A55" s="6" t="s">
        <v>25</v>
      </c>
      <c r="B55" s="6">
        <f t="shared" si="0"/>
        <v>1</v>
      </c>
      <c r="C55" s="5" t="s">
        <v>20</v>
      </c>
      <c r="D55" s="6">
        <f t="shared" ref="D55:D57" si="12">IF(ISNUMBER(FIND("3",C55,27)), 3, IF(ISNUMBER(FIND("2",C55,27)), 2, 1))</f>
        <v>3</v>
      </c>
      <c r="E55" s="6" t="s">
        <v>32</v>
      </c>
      <c r="F55" s="5">
        <v>5970.0360000000001</v>
      </c>
    </row>
    <row r="56" spans="1:6" x14ac:dyDescent="0.35">
      <c r="A56" s="6" t="s">
        <v>25</v>
      </c>
      <c r="B56" s="6">
        <f t="shared" si="0"/>
        <v>1</v>
      </c>
      <c r="C56" s="5" t="s">
        <v>21</v>
      </c>
      <c r="D56" s="6">
        <f t="shared" si="12"/>
        <v>2</v>
      </c>
      <c r="E56" s="6" t="s">
        <v>32</v>
      </c>
      <c r="F56" s="5">
        <v>33099.213000000003</v>
      </c>
    </row>
    <row r="57" spans="1:6" x14ac:dyDescent="0.35">
      <c r="A57" s="6" t="s">
        <v>25</v>
      </c>
      <c r="B57" s="6">
        <f t="shared" si="0"/>
        <v>1</v>
      </c>
      <c r="C57" s="5" t="s">
        <v>22</v>
      </c>
      <c r="D57" s="6">
        <f t="shared" si="12"/>
        <v>1</v>
      </c>
      <c r="E57" s="6" t="s">
        <v>32</v>
      </c>
      <c r="F57" s="5">
        <v>6624.2659999999996</v>
      </c>
    </row>
    <row r="58" spans="1:6" hidden="1" x14ac:dyDescent="0.35">
      <c r="A58" s="6" t="s">
        <v>25</v>
      </c>
      <c r="B58" s="6">
        <f t="shared" si="0"/>
        <v>1</v>
      </c>
      <c r="C58" s="5" t="s">
        <v>23</v>
      </c>
      <c r="D58" s="5"/>
      <c r="E58" s="5" t="s">
        <v>32</v>
      </c>
      <c r="F58" s="5">
        <v>29.295999999999999</v>
      </c>
    </row>
    <row r="59" spans="1:6" x14ac:dyDescent="0.35">
      <c r="A59" s="6" t="s">
        <v>24</v>
      </c>
      <c r="B59" s="6">
        <f t="shared" si="0"/>
        <v>0</v>
      </c>
      <c r="C59" s="5" t="s">
        <v>20</v>
      </c>
      <c r="D59" s="6">
        <f t="shared" ref="D59:D61" si="13">IF(ISNUMBER(FIND("3",C59,27)), 3, IF(ISNUMBER(FIND("2",C59,27)), 2, 1))</f>
        <v>3</v>
      </c>
      <c r="E59" s="6" t="s">
        <v>33</v>
      </c>
      <c r="F59" s="5">
        <v>7496.27</v>
      </c>
    </row>
    <row r="60" spans="1:6" x14ac:dyDescent="0.35">
      <c r="A60" s="6" t="s">
        <v>24</v>
      </c>
      <c r="B60" s="6">
        <f t="shared" si="0"/>
        <v>0</v>
      </c>
      <c r="C60" s="5" t="s">
        <v>21</v>
      </c>
      <c r="D60" s="6">
        <f t="shared" si="13"/>
        <v>2</v>
      </c>
      <c r="E60" s="6" t="s">
        <v>33</v>
      </c>
      <c r="F60" s="5">
        <v>47713.982000000004</v>
      </c>
    </row>
    <row r="61" spans="1:6" x14ac:dyDescent="0.35">
      <c r="A61" s="6" t="s">
        <v>24</v>
      </c>
      <c r="B61" s="6">
        <f t="shared" si="0"/>
        <v>0</v>
      </c>
      <c r="C61" s="5" t="s">
        <v>22</v>
      </c>
      <c r="D61" s="6">
        <f t="shared" si="13"/>
        <v>1</v>
      </c>
      <c r="E61" s="6" t="s">
        <v>33</v>
      </c>
      <c r="F61" s="5">
        <v>13301.785</v>
      </c>
    </row>
    <row r="62" spans="1:6" hidden="1" x14ac:dyDescent="0.35">
      <c r="A62" s="6" t="s">
        <v>24</v>
      </c>
      <c r="B62" s="6">
        <f t="shared" si="0"/>
        <v>0</v>
      </c>
      <c r="C62" s="5" t="s">
        <v>23</v>
      </c>
      <c r="D62" s="5"/>
      <c r="E62" s="5" t="s">
        <v>33</v>
      </c>
      <c r="F62" s="5">
        <v>1291.3420000000001</v>
      </c>
    </row>
    <row r="63" spans="1:6" x14ac:dyDescent="0.35">
      <c r="A63" s="6" t="s">
        <v>25</v>
      </c>
      <c r="B63" s="6">
        <f t="shared" si="0"/>
        <v>1</v>
      </c>
      <c r="C63" s="5" t="s">
        <v>20</v>
      </c>
      <c r="D63" s="6">
        <f t="shared" ref="D63:D65" si="14">IF(ISNUMBER(FIND("3",C63,27)), 3, IF(ISNUMBER(FIND("2",C63,27)), 2, 1))</f>
        <v>3</v>
      </c>
      <c r="E63" s="6" t="s">
        <v>33</v>
      </c>
      <c r="F63" s="5">
        <v>7055.7160000000003</v>
      </c>
    </row>
    <row r="64" spans="1:6" x14ac:dyDescent="0.35">
      <c r="A64" s="6" t="s">
        <v>25</v>
      </c>
      <c r="B64" s="6">
        <f t="shared" si="0"/>
        <v>1</v>
      </c>
      <c r="C64" s="5" t="s">
        <v>21</v>
      </c>
      <c r="D64" s="6">
        <f t="shared" si="14"/>
        <v>2</v>
      </c>
      <c r="E64" s="6" t="s">
        <v>33</v>
      </c>
      <c r="F64" s="5">
        <v>30207.173999999999</v>
      </c>
    </row>
    <row r="65" spans="1:6" x14ac:dyDescent="0.35">
      <c r="A65" s="6" t="s">
        <v>25</v>
      </c>
      <c r="B65" s="6">
        <f t="shared" si="0"/>
        <v>1</v>
      </c>
      <c r="C65" s="5" t="s">
        <v>22</v>
      </c>
      <c r="D65" s="6">
        <f t="shared" si="14"/>
        <v>1</v>
      </c>
      <c r="E65" s="6" t="s">
        <v>33</v>
      </c>
      <c r="F65" s="5">
        <v>6784.6360000000004</v>
      </c>
    </row>
    <row r="66" spans="1:6" hidden="1" x14ac:dyDescent="0.35">
      <c r="A66" s="6" t="s">
        <v>25</v>
      </c>
      <c r="B66" s="6">
        <f t="shared" si="0"/>
        <v>1</v>
      </c>
      <c r="C66" s="5" t="s">
        <v>23</v>
      </c>
      <c r="D66" s="5"/>
      <c r="E66" s="5" t="s">
        <v>33</v>
      </c>
      <c r="F66" s="5">
        <v>54.439</v>
      </c>
    </row>
    <row r="67" spans="1:6" x14ac:dyDescent="0.35">
      <c r="A67" s="6" t="s">
        <v>24</v>
      </c>
      <c r="B67" s="6">
        <f t="shared" si="0"/>
        <v>0</v>
      </c>
      <c r="C67" s="5" t="s">
        <v>20</v>
      </c>
      <c r="D67" s="6">
        <f t="shared" ref="D67:D69" si="15">IF(ISNUMBER(FIND("3",C67,27)), 3, IF(ISNUMBER(FIND("2",C67,27)), 2, 1))</f>
        <v>3</v>
      </c>
      <c r="E67" s="6" t="s">
        <v>34</v>
      </c>
      <c r="F67" s="5">
        <v>6260.3050000000003</v>
      </c>
    </row>
    <row r="68" spans="1:6" x14ac:dyDescent="0.35">
      <c r="A68" s="6" t="s">
        <v>24</v>
      </c>
      <c r="B68" s="6">
        <f t="shared" si="0"/>
        <v>0</v>
      </c>
      <c r="C68" s="5" t="s">
        <v>21</v>
      </c>
      <c r="D68" s="6">
        <f t="shared" si="15"/>
        <v>2</v>
      </c>
      <c r="E68" s="6" t="s">
        <v>34</v>
      </c>
      <c r="F68" s="5">
        <v>48491.731</v>
      </c>
    </row>
    <row r="69" spans="1:6" x14ac:dyDescent="0.35">
      <c r="A69" s="6" t="s">
        <v>24</v>
      </c>
      <c r="B69" s="6">
        <f t="shared" si="0"/>
        <v>0</v>
      </c>
      <c r="C69" s="5" t="s">
        <v>22</v>
      </c>
      <c r="D69" s="6">
        <f t="shared" si="15"/>
        <v>1</v>
      </c>
      <c r="E69" s="6" t="s">
        <v>34</v>
      </c>
      <c r="F69" s="5">
        <v>13992.143</v>
      </c>
    </row>
    <row r="70" spans="1:6" hidden="1" x14ac:dyDescent="0.35">
      <c r="A70" s="6" t="s">
        <v>24</v>
      </c>
      <c r="B70" s="6">
        <f t="shared" si="0"/>
        <v>0</v>
      </c>
      <c r="C70" s="5" t="s">
        <v>23</v>
      </c>
      <c r="D70" s="5"/>
      <c r="E70" s="5" t="s">
        <v>34</v>
      </c>
      <c r="F70" s="5">
        <v>637.66999999999996</v>
      </c>
    </row>
    <row r="71" spans="1:6" x14ac:dyDescent="0.35">
      <c r="A71" s="6" t="s">
        <v>25</v>
      </c>
      <c r="B71" s="6">
        <f t="shared" si="0"/>
        <v>1</v>
      </c>
      <c r="C71" s="5" t="s">
        <v>20</v>
      </c>
      <c r="D71" s="6">
        <f t="shared" ref="D71:D73" si="16">IF(ISNUMBER(FIND("3",C71,27)), 3, IF(ISNUMBER(FIND("2",C71,27)), 2, 1))</f>
        <v>3</v>
      </c>
      <c r="E71" s="6" t="s">
        <v>34</v>
      </c>
      <c r="F71" s="5">
        <v>5137.0940000000001</v>
      </c>
    </row>
    <row r="72" spans="1:6" x14ac:dyDescent="0.35">
      <c r="A72" s="6" t="s">
        <v>25</v>
      </c>
      <c r="B72" s="6">
        <f t="shared" si="0"/>
        <v>1</v>
      </c>
      <c r="C72" s="5" t="s">
        <v>21</v>
      </c>
      <c r="D72" s="6">
        <f t="shared" si="16"/>
        <v>2</v>
      </c>
      <c r="E72" s="6" t="s">
        <v>34</v>
      </c>
      <c r="F72" s="5">
        <v>31624.342000000001</v>
      </c>
    </row>
    <row r="73" spans="1:6" x14ac:dyDescent="0.35">
      <c r="A73" s="6" t="s">
        <v>25</v>
      </c>
      <c r="B73" s="6">
        <f t="shared" si="0"/>
        <v>1</v>
      </c>
      <c r="C73" s="5" t="s">
        <v>22</v>
      </c>
      <c r="D73" s="6">
        <f t="shared" si="16"/>
        <v>1</v>
      </c>
      <c r="E73" s="6" t="s">
        <v>34</v>
      </c>
      <c r="F73" s="5">
        <v>6213.326</v>
      </c>
    </row>
    <row r="74" spans="1:6" hidden="1" x14ac:dyDescent="0.35">
      <c r="A74" s="6" t="s">
        <v>25</v>
      </c>
      <c r="B74" s="6">
        <f t="shared" si="0"/>
        <v>1</v>
      </c>
      <c r="C74" s="5" t="s">
        <v>23</v>
      </c>
      <c r="D74" s="5"/>
      <c r="E74" s="5" t="s">
        <v>34</v>
      </c>
      <c r="F74" s="5">
        <v>33.433999999999997</v>
      </c>
    </row>
    <row r="75" spans="1:6" x14ac:dyDescent="0.35">
      <c r="A75" s="6" t="s">
        <v>24</v>
      </c>
      <c r="B75" s="6">
        <f t="shared" si="0"/>
        <v>0</v>
      </c>
      <c r="C75" s="5" t="s">
        <v>20</v>
      </c>
      <c r="D75" s="6">
        <f t="shared" ref="D75:D77" si="17">IF(ISNUMBER(FIND("3",C75,27)), 3, IF(ISNUMBER(FIND("2",C75,27)), 2, 1))</f>
        <v>3</v>
      </c>
      <c r="E75" s="6" t="s">
        <v>35</v>
      </c>
      <c r="F75" s="5">
        <v>5856.9459999999999</v>
      </c>
    </row>
    <row r="76" spans="1:6" x14ac:dyDescent="0.35">
      <c r="A76" s="6" t="s">
        <v>24</v>
      </c>
      <c r="B76" s="6">
        <f t="shared" ref="B76:B90" si="18">IF(A76="Male", 0, 1)</f>
        <v>0</v>
      </c>
      <c r="C76" s="5" t="s">
        <v>21</v>
      </c>
      <c r="D76" s="6">
        <f t="shared" si="17"/>
        <v>2</v>
      </c>
      <c r="E76" s="6" t="s">
        <v>35</v>
      </c>
      <c r="F76" s="5">
        <v>49465.315000000002</v>
      </c>
    </row>
    <row r="77" spans="1:6" x14ac:dyDescent="0.35">
      <c r="A77" s="6" t="s">
        <v>24</v>
      </c>
      <c r="B77" s="6">
        <f t="shared" si="18"/>
        <v>0</v>
      </c>
      <c r="C77" s="5" t="s">
        <v>22</v>
      </c>
      <c r="D77" s="6">
        <f t="shared" si="17"/>
        <v>1</v>
      </c>
      <c r="E77" s="6" t="s">
        <v>35</v>
      </c>
      <c r="F77" s="5">
        <v>12882.967000000001</v>
      </c>
    </row>
    <row r="78" spans="1:6" hidden="1" x14ac:dyDescent="0.35">
      <c r="A78" s="6" t="s">
        <v>24</v>
      </c>
      <c r="B78" s="6">
        <f t="shared" si="18"/>
        <v>0</v>
      </c>
      <c r="C78" s="5" t="s">
        <v>23</v>
      </c>
      <c r="D78" s="5"/>
      <c r="E78" s="5" t="s">
        <v>35</v>
      </c>
      <c r="F78" s="5">
        <v>594.745</v>
      </c>
    </row>
    <row r="79" spans="1:6" x14ac:dyDescent="0.35">
      <c r="A79" s="6" t="s">
        <v>25</v>
      </c>
      <c r="B79" s="6">
        <f t="shared" si="18"/>
        <v>1</v>
      </c>
      <c r="C79" s="5" t="s">
        <v>20</v>
      </c>
      <c r="D79" s="6">
        <f t="shared" ref="D79:D81" si="19">IF(ISNUMBER(FIND("3",C79,27)), 3, IF(ISNUMBER(FIND("2",C79,27)), 2, 1))</f>
        <v>3</v>
      </c>
      <c r="E79" s="6" t="s">
        <v>35</v>
      </c>
      <c r="F79" s="5">
        <v>4854.3850000000002</v>
      </c>
    </row>
    <row r="80" spans="1:6" x14ac:dyDescent="0.35">
      <c r="A80" s="6" t="s">
        <v>25</v>
      </c>
      <c r="B80" s="6">
        <f t="shared" si="18"/>
        <v>1</v>
      </c>
      <c r="C80" s="5" t="s">
        <v>21</v>
      </c>
      <c r="D80" s="6">
        <f t="shared" si="19"/>
        <v>2</v>
      </c>
      <c r="E80" s="6" t="s">
        <v>35</v>
      </c>
      <c r="F80" s="5">
        <v>31999.760999999999</v>
      </c>
    </row>
    <row r="81" spans="1:6" x14ac:dyDescent="0.35">
      <c r="A81" s="6" t="s">
        <v>25</v>
      </c>
      <c r="B81" s="6">
        <f t="shared" si="18"/>
        <v>1</v>
      </c>
      <c r="C81" s="5" t="s">
        <v>22</v>
      </c>
      <c r="D81" s="6">
        <f t="shared" si="19"/>
        <v>1</v>
      </c>
      <c r="E81" s="6" t="s">
        <v>35</v>
      </c>
      <c r="F81" s="5">
        <v>5609.5839999999998</v>
      </c>
    </row>
    <row r="82" spans="1:6" hidden="1" x14ac:dyDescent="0.35">
      <c r="A82" s="6" t="s">
        <v>25</v>
      </c>
      <c r="B82" s="6">
        <f t="shared" si="18"/>
        <v>1</v>
      </c>
      <c r="C82" s="5" t="s">
        <v>23</v>
      </c>
      <c r="D82" s="5"/>
      <c r="E82" s="5" t="s">
        <v>35</v>
      </c>
      <c r="F82" s="5">
        <v>24.754000000000001</v>
      </c>
    </row>
    <row r="83" spans="1:6" x14ac:dyDescent="0.35">
      <c r="A83" s="6" t="s">
        <v>24</v>
      </c>
      <c r="B83" s="6">
        <f t="shared" si="18"/>
        <v>0</v>
      </c>
      <c r="C83" s="5" t="s">
        <v>20</v>
      </c>
      <c r="D83" s="6">
        <f t="shared" ref="D83:D85" si="20">IF(ISNUMBER(FIND("3",C83,27)), 3, IF(ISNUMBER(FIND("2",C83,27)), 2, 1))</f>
        <v>3</v>
      </c>
      <c r="E83" s="6" t="s">
        <v>36</v>
      </c>
      <c r="F83" s="5">
        <v>5735.3890000000001</v>
      </c>
    </row>
    <row r="84" spans="1:6" x14ac:dyDescent="0.35">
      <c r="A84" s="6" t="s">
        <v>24</v>
      </c>
      <c r="B84" s="6">
        <f t="shared" si="18"/>
        <v>0</v>
      </c>
      <c r="C84" s="5" t="s">
        <v>21</v>
      </c>
      <c r="D84" s="6">
        <f t="shared" si="20"/>
        <v>2</v>
      </c>
      <c r="E84" s="6" t="s">
        <v>36</v>
      </c>
      <c r="F84" s="5">
        <v>49225.752</v>
      </c>
    </row>
    <row r="85" spans="1:6" x14ac:dyDescent="0.35">
      <c r="A85" s="6" t="s">
        <v>24</v>
      </c>
      <c r="B85" s="6">
        <f t="shared" si="18"/>
        <v>0</v>
      </c>
      <c r="C85" s="5" t="s">
        <v>22</v>
      </c>
      <c r="D85" s="6">
        <f t="shared" si="20"/>
        <v>1</v>
      </c>
      <c r="E85" s="6" t="s">
        <v>36</v>
      </c>
      <c r="F85" s="5">
        <v>12189.418</v>
      </c>
    </row>
    <row r="86" spans="1:6" hidden="1" x14ac:dyDescent="0.35">
      <c r="A86" s="6" t="s">
        <v>24</v>
      </c>
      <c r="B86" s="6">
        <f t="shared" si="18"/>
        <v>0</v>
      </c>
      <c r="C86" s="5" t="s">
        <v>23</v>
      </c>
      <c r="D86" s="5"/>
      <c r="E86" s="5" t="s">
        <v>36</v>
      </c>
      <c r="F86" s="5">
        <v>551.5</v>
      </c>
    </row>
    <row r="87" spans="1:6" x14ac:dyDescent="0.35">
      <c r="A87" s="6" t="s">
        <v>25</v>
      </c>
      <c r="B87" s="6">
        <f t="shared" si="18"/>
        <v>1</v>
      </c>
      <c r="C87" s="5" t="s">
        <v>20</v>
      </c>
      <c r="D87" s="6">
        <f t="shared" ref="D87:D89" si="21">IF(ISNUMBER(FIND("3",C87,27)), 3, IF(ISNUMBER(FIND("2",C87,27)), 2, 1))</f>
        <v>3</v>
      </c>
      <c r="E87" s="6" t="s">
        <v>36</v>
      </c>
      <c r="F87" s="5">
        <v>4577.366</v>
      </c>
    </row>
    <row r="88" spans="1:6" x14ac:dyDescent="0.35">
      <c r="A88" s="6" t="s">
        <v>25</v>
      </c>
      <c r="B88" s="6">
        <f t="shared" si="18"/>
        <v>1</v>
      </c>
      <c r="C88" s="5" t="s">
        <v>21</v>
      </c>
      <c r="D88" s="6">
        <f t="shared" si="21"/>
        <v>2</v>
      </c>
      <c r="E88" s="6" t="s">
        <v>36</v>
      </c>
      <c r="F88" s="5">
        <v>31708.381000000001</v>
      </c>
    </row>
    <row r="89" spans="1:6" x14ac:dyDescent="0.35">
      <c r="A89" s="6" t="s">
        <v>25</v>
      </c>
      <c r="B89" s="6">
        <f t="shared" si="18"/>
        <v>1</v>
      </c>
      <c r="C89" s="5" t="s">
        <v>22</v>
      </c>
      <c r="D89" s="6">
        <f t="shared" si="21"/>
        <v>1</v>
      </c>
      <c r="E89" s="6" t="s">
        <v>36</v>
      </c>
      <c r="F89" s="5">
        <v>5431.6109999999999</v>
      </c>
    </row>
    <row r="90" spans="1:6" hidden="1" x14ac:dyDescent="0.35">
      <c r="A90" s="6" t="s">
        <v>25</v>
      </c>
      <c r="B90" s="6">
        <f t="shared" si="18"/>
        <v>1</v>
      </c>
      <c r="C90" s="5" t="s">
        <v>23</v>
      </c>
      <c r="D90" s="5"/>
      <c r="E90" s="5" t="s">
        <v>36</v>
      </c>
      <c r="F90" s="5">
        <v>23.625</v>
      </c>
    </row>
  </sheetData>
  <autoFilter ref="A10:F90" xr:uid="{7066238F-CA32-4ABF-93C9-EF999FDBEF6D}">
    <filterColumn colId="2">
      <filters>
        <filter val="Occupation (Skill level): Skill level 1 ~ low"/>
        <filter val="Occupation (Skill level): Skill level 2 ~ medium"/>
        <filter val="Occupation (Skill level): Skill levels 3 and 4 ~ hig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4B69-060A-4C5C-8811-BAEAA4F5825D}">
  <dimension ref="A1:L69"/>
  <sheetViews>
    <sheetView topLeftCell="A2" workbookViewId="0">
      <selection activeCell="H9" sqref="H9"/>
    </sheetView>
  </sheetViews>
  <sheetFormatPr defaultRowHeight="14.5" x14ac:dyDescent="0.35"/>
  <cols>
    <col min="1" max="1" width="11.08984375" customWidth="1"/>
    <col min="2" max="2" width="12.1796875" customWidth="1"/>
    <col min="3" max="3" width="26.6328125" customWidth="1"/>
    <col min="4" max="4" width="17.36328125" bestFit="1" customWidth="1"/>
    <col min="5" max="5" width="15.90625" customWidth="1"/>
    <col min="6" max="6" width="9.453125" customWidth="1"/>
    <col min="7" max="7" width="11.6328125" customWidth="1"/>
  </cols>
  <sheetData>
    <row r="1" spans="1:12" x14ac:dyDescent="0.35">
      <c r="A1" s="2" t="s">
        <v>14</v>
      </c>
    </row>
    <row r="2" spans="1:12" x14ac:dyDescent="0.35">
      <c r="H2" s="2" t="s">
        <v>49</v>
      </c>
      <c r="L2" s="2" t="s">
        <v>50</v>
      </c>
    </row>
    <row r="3" spans="1:12" x14ac:dyDescent="0.35">
      <c r="A3" s="2" t="s">
        <v>37</v>
      </c>
      <c r="B3" t="s">
        <v>12</v>
      </c>
      <c r="H3" t="s">
        <v>46</v>
      </c>
      <c r="L3" t="s">
        <v>51</v>
      </c>
    </row>
    <row r="4" spans="1:12" x14ac:dyDescent="0.35">
      <c r="A4" s="2" t="s">
        <v>38</v>
      </c>
      <c r="B4" t="s">
        <v>39</v>
      </c>
      <c r="H4" t="s">
        <v>47</v>
      </c>
      <c r="L4" t="s">
        <v>52</v>
      </c>
    </row>
    <row r="5" spans="1:12" x14ac:dyDescent="0.35">
      <c r="B5" s="3" t="s">
        <v>40</v>
      </c>
      <c r="H5" t="s">
        <v>48</v>
      </c>
    </row>
    <row r="6" spans="1:12" x14ac:dyDescent="0.35">
      <c r="B6" s="3"/>
    </row>
    <row r="7" spans="1:12" x14ac:dyDescent="0.35">
      <c r="A7" s="2" t="s">
        <v>42</v>
      </c>
      <c r="B7" s="4" t="s">
        <v>43</v>
      </c>
    </row>
    <row r="8" spans="1:12" x14ac:dyDescent="0.35">
      <c r="B8" s="2"/>
    </row>
    <row r="9" spans="1:12" x14ac:dyDescent="0.35">
      <c r="A9" s="7" t="s">
        <v>55</v>
      </c>
      <c r="B9" s="11" t="s">
        <v>56</v>
      </c>
      <c r="C9" s="7" t="s">
        <v>85</v>
      </c>
      <c r="D9" s="12" t="s">
        <v>86</v>
      </c>
      <c r="E9" s="12" t="s">
        <v>87</v>
      </c>
      <c r="F9" s="11" t="s">
        <v>59</v>
      </c>
      <c r="G9" s="13" t="s">
        <v>58</v>
      </c>
      <c r="I9" s="2"/>
    </row>
    <row r="10" spans="1:12" x14ac:dyDescent="0.35">
      <c r="A10" s="6">
        <v>1</v>
      </c>
      <c r="B10" s="6">
        <v>0</v>
      </c>
      <c r="C10" s="6">
        <v>3</v>
      </c>
      <c r="D10" s="6">
        <v>0</v>
      </c>
      <c r="E10" s="6">
        <v>1</v>
      </c>
      <c r="F10" s="6">
        <v>2023</v>
      </c>
      <c r="G10" s="5">
        <v>7911.1139999999996</v>
      </c>
    </row>
    <row r="11" spans="1:12" x14ac:dyDescent="0.35">
      <c r="A11" s="6">
        <v>2</v>
      </c>
      <c r="B11" s="6">
        <v>0</v>
      </c>
      <c r="C11" s="6">
        <v>2</v>
      </c>
      <c r="D11" s="6">
        <v>1</v>
      </c>
      <c r="E11" s="6">
        <v>0</v>
      </c>
      <c r="F11" s="6">
        <v>2023</v>
      </c>
      <c r="G11" s="5">
        <v>53195.45</v>
      </c>
    </row>
    <row r="12" spans="1:12" x14ac:dyDescent="0.35">
      <c r="A12" s="6">
        <v>3</v>
      </c>
      <c r="B12" s="6">
        <v>0</v>
      </c>
      <c r="C12" s="6">
        <v>1</v>
      </c>
      <c r="D12" s="6">
        <v>0</v>
      </c>
      <c r="E12" s="6">
        <v>0</v>
      </c>
      <c r="F12" s="6">
        <v>2023</v>
      </c>
      <c r="G12" s="5">
        <v>17413.935000000001</v>
      </c>
    </row>
    <row r="13" spans="1:12" x14ac:dyDescent="0.35">
      <c r="A13" s="6">
        <v>4</v>
      </c>
      <c r="B13" s="6">
        <v>1</v>
      </c>
      <c r="C13" s="6">
        <v>3</v>
      </c>
      <c r="D13" s="6">
        <v>0</v>
      </c>
      <c r="E13" s="6">
        <v>1</v>
      </c>
      <c r="F13" s="6">
        <v>2023</v>
      </c>
      <c r="G13" s="5">
        <v>7212.9009999999998</v>
      </c>
    </row>
    <row r="14" spans="1:12" x14ac:dyDescent="0.35">
      <c r="A14" s="6">
        <v>5</v>
      </c>
      <c r="B14" s="6">
        <v>1</v>
      </c>
      <c r="C14" s="6">
        <v>2</v>
      </c>
      <c r="D14" s="6">
        <v>1</v>
      </c>
      <c r="E14" s="6">
        <v>0</v>
      </c>
      <c r="F14" s="6">
        <v>2023</v>
      </c>
      <c r="G14" s="5">
        <v>35508.483999999997</v>
      </c>
    </row>
    <row r="15" spans="1:12" x14ac:dyDescent="0.35">
      <c r="A15" s="6">
        <v>6</v>
      </c>
      <c r="B15" s="6">
        <v>1</v>
      </c>
      <c r="C15" s="6">
        <v>1</v>
      </c>
      <c r="D15" s="6">
        <v>0</v>
      </c>
      <c r="E15" s="6">
        <v>0</v>
      </c>
      <c r="F15" s="6">
        <v>2023</v>
      </c>
      <c r="G15" s="5">
        <v>8143.9160000000002</v>
      </c>
    </row>
    <row r="16" spans="1:12" x14ac:dyDescent="0.35">
      <c r="A16" s="6">
        <v>7</v>
      </c>
      <c r="B16" s="6">
        <v>0</v>
      </c>
      <c r="C16" s="6">
        <v>3</v>
      </c>
      <c r="D16" s="6">
        <v>0</v>
      </c>
      <c r="E16" s="6">
        <v>1</v>
      </c>
      <c r="F16" s="6">
        <v>2022</v>
      </c>
      <c r="G16" s="5">
        <v>7592.6880000000001</v>
      </c>
    </row>
    <row r="17" spans="1:7" x14ac:dyDescent="0.35">
      <c r="A17" s="6">
        <v>8</v>
      </c>
      <c r="B17" s="6">
        <v>0</v>
      </c>
      <c r="C17" s="6">
        <v>2</v>
      </c>
      <c r="D17" s="6">
        <v>1</v>
      </c>
      <c r="E17" s="6">
        <v>0</v>
      </c>
      <c r="F17" s="6">
        <v>2022</v>
      </c>
      <c r="G17" s="5">
        <v>52196.947999999997</v>
      </c>
    </row>
    <row r="18" spans="1:7" x14ac:dyDescent="0.35">
      <c r="A18" s="6">
        <v>9</v>
      </c>
      <c r="B18" s="6">
        <v>0</v>
      </c>
      <c r="C18" s="6">
        <v>1</v>
      </c>
      <c r="D18" s="6">
        <v>0</v>
      </c>
      <c r="E18" s="6">
        <v>0</v>
      </c>
      <c r="F18" s="6">
        <v>2022</v>
      </c>
      <c r="G18" s="5">
        <v>16392.506000000001</v>
      </c>
    </row>
    <row r="19" spans="1:7" x14ac:dyDescent="0.35">
      <c r="A19" s="6">
        <v>10</v>
      </c>
      <c r="B19" s="6">
        <v>1</v>
      </c>
      <c r="C19" s="6">
        <v>3</v>
      </c>
      <c r="D19" s="6">
        <v>0</v>
      </c>
      <c r="E19" s="6">
        <v>1</v>
      </c>
      <c r="F19" s="6">
        <v>2022</v>
      </c>
      <c r="G19" s="5">
        <v>6778.7820000000002</v>
      </c>
    </row>
    <row r="20" spans="1:7" x14ac:dyDescent="0.35">
      <c r="A20" s="6">
        <v>11</v>
      </c>
      <c r="B20" s="6">
        <v>1</v>
      </c>
      <c r="C20" s="6">
        <v>2</v>
      </c>
      <c r="D20" s="6">
        <v>1</v>
      </c>
      <c r="E20" s="6">
        <v>0</v>
      </c>
      <c r="F20" s="6">
        <v>2022</v>
      </c>
      <c r="G20" s="5">
        <v>35146.932999999997</v>
      </c>
    </row>
    <row r="21" spans="1:7" x14ac:dyDescent="0.35">
      <c r="A21" s="6">
        <v>12</v>
      </c>
      <c r="B21" s="6">
        <v>1</v>
      </c>
      <c r="C21" s="6">
        <v>1</v>
      </c>
      <c r="D21" s="6">
        <v>0</v>
      </c>
      <c r="E21" s="6">
        <v>0</v>
      </c>
      <c r="F21" s="6">
        <v>2022</v>
      </c>
      <c r="G21" s="5">
        <v>7596.62</v>
      </c>
    </row>
    <row r="22" spans="1:7" x14ac:dyDescent="0.35">
      <c r="A22" s="6">
        <v>13</v>
      </c>
      <c r="B22" s="6">
        <v>0</v>
      </c>
      <c r="C22" s="6">
        <v>3</v>
      </c>
      <c r="D22" s="6">
        <v>0</v>
      </c>
      <c r="E22" s="6">
        <v>1</v>
      </c>
      <c r="F22" s="6">
        <v>2021</v>
      </c>
      <c r="G22" s="5">
        <v>7300.0709999999999</v>
      </c>
    </row>
    <row r="23" spans="1:7" x14ac:dyDescent="0.35">
      <c r="A23" s="6">
        <v>14</v>
      </c>
      <c r="B23" s="6">
        <v>0</v>
      </c>
      <c r="C23" s="6">
        <v>2</v>
      </c>
      <c r="D23" s="6">
        <v>1</v>
      </c>
      <c r="E23" s="6">
        <v>0</v>
      </c>
      <c r="F23" s="6">
        <v>2021</v>
      </c>
      <c r="G23" s="5">
        <v>49974.008999999998</v>
      </c>
    </row>
    <row r="24" spans="1:7" x14ac:dyDescent="0.35">
      <c r="A24" s="6">
        <v>15</v>
      </c>
      <c r="B24" s="6">
        <v>0</v>
      </c>
      <c r="C24" s="6">
        <v>1</v>
      </c>
      <c r="D24" s="6">
        <v>0</v>
      </c>
      <c r="E24" s="6">
        <v>0</v>
      </c>
      <c r="F24" s="6">
        <v>2021</v>
      </c>
      <c r="G24" s="5">
        <v>15840.63</v>
      </c>
    </row>
    <row r="25" spans="1:7" x14ac:dyDescent="0.35">
      <c r="A25" s="6">
        <v>16</v>
      </c>
      <c r="B25" s="6">
        <v>1</v>
      </c>
      <c r="C25" s="6">
        <v>3</v>
      </c>
      <c r="D25" s="6">
        <v>0</v>
      </c>
      <c r="E25" s="6">
        <v>1</v>
      </c>
      <c r="F25" s="6">
        <v>2021</v>
      </c>
      <c r="G25" s="5">
        <v>6652.2889999999998</v>
      </c>
    </row>
    <row r="26" spans="1:7" x14ac:dyDescent="0.35">
      <c r="A26" s="6">
        <v>17</v>
      </c>
      <c r="B26" s="6">
        <v>1</v>
      </c>
      <c r="C26" s="6">
        <v>2</v>
      </c>
      <c r="D26" s="6">
        <v>1</v>
      </c>
      <c r="E26" s="6">
        <v>0</v>
      </c>
      <c r="F26" s="6">
        <v>2021</v>
      </c>
      <c r="G26" s="5">
        <v>34688.707000000002</v>
      </c>
    </row>
    <row r="27" spans="1:7" x14ac:dyDescent="0.35">
      <c r="A27" s="6">
        <v>18</v>
      </c>
      <c r="B27" s="6">
        <v>1</v>
      </c>
      <c r="C27" s="6">
        <v>1</v>
      </c>
      <c r="D27" s="6">
        <v>0</v>
      </c>
      <c r="E27" s="6">
        <v>0</v>
      </c>
      <c r="F27" s="6">
        <v>2021</v>
      </c>
      <c r="G27" s="5">
        <v>7467.13</v>
      </c>
    </row>
    <row r="28" spans="1:7" x14ac:dyDescent="0.35">
      <c r="A28" s="6">
        <v>19</v>
      </c>
      <c r="B28" s="6">
        <v>0</v>
      </c>
      <c r="C28" s="6">
        <v>3</v>
      </c>
      <c r="D28" s="6">
        <v>0</v>
      </c>
      <c r="E28" s="6">
        <v>1</v>
      </c>
      <c r="F28" s="6">
        <v>2020</v>
      </c>
      <c r="G28" s="5">
        <v>7753.5060000000003</v>
      </c>
    </row>
    <row r="29" spans="1:7" x14ac:dyDescent="0.35">
      <c r="A29" s="6">
        <v>20</v>
      </c>
      <c r="B29" s="6">
        <v>0</v>
      </c>
      <c r="C29" s="6">
        <v>2</v>
      </c>
      <c r="D29" s="6">
        <v>1</v>
      </c>
      <c r="E29" s="6">
        <v>0</v>
      </c>
      <c r="F29" s="6">
        <v>2020</v>
      </c>
      <c r="G29" s="5">
        <v>50745.207999999999</v>
      </c>
    </row>
    <row r="30" spans="1:7" x14ac:dyDescent="0.35">
      <c r="A30" s="6">
        <v>21</v>
      </c>
      <c r="B30" s="6">
        <v>0</v>
      </c>
      <c r="C30" s="6">
        <v>1</v>
      </c>
      <c r="D30" s="6">
        <v>0</v>
      </c>
      <c r="E30" s="6">
        <v>0</v>
      </c>
      <c r="F30" s="6">
        <v>2020</v>
      </c>
      <c r="G30" s="5">
        <v>15250.332</v>
      </c>
    </row>
    <row r="31" spans="1:7" x14ac:dyDescent="0.35">
      <c r="A31" s="6">
        <v>22</v>
      </c>
      <c r="B31" s="6">
        <v>1</v>
      </c>
      <c r="C31" s="6">
        <v>3</v>
      </c>
      <c r="D31" s="6">
        <v>0</v>
      </c>
      <c r="E31" s="6">
        <v>1</v>
      </c>
      <c r="F31" s="6">
        <v>2020</v>
      </c>
      <c r="G31" s="5">
        <v>6691.3370000000004</v>
      </c>
    </row>
    <row r="32" spans="1:7" x14ac:dyDescent="0.35">
      <c r="A32" s="6">
        <v>23</v>
      </c>
      <c r="B32" s="6">
        <v>1</v>
      </c>
      <c r="C32" s="6">
        <v>2</v>
      </c>
      <c r="D32" s="6">
        <v>1</v>
      </c>
      <c r="E32" s="6">
        <v>0</v>
      </c>
      <c r="F32" s="6">
        <v>2020</v>
      </c>
      <c r="G32" s="5">
        <v>34798.94</v>
      </c>
    </row>
    <row r="33" spans="1:7" x14ac:dyDescent="0.35">
      <c r="A33" s="6">
        <v>24</v>
      </c>
      <c r="B33" s="6">
        <v>1</v>
      </c>
      <c r="C33" s="6">
        <v>1</v>
      </c>
      <c r="D33" s="6">
        <v>0</v>
      </c>
      <c r="E33" s="6">
        <v>0</v>
      </c>
      <c r="F33" s="6">
        <v>2020</v>
      </c>
      <c r="G33" s="5">
        <v>7377.55</v>
      </c>
    </row>
    <row r="34" spans="1:7" x14ac:dyDescent="0.35">
      <c r="A34" s="6">
        <v>25</v>
      </c>
      <c r="B34" s="6">
        <v>0</v>
      </c>
      <c r="C34" s="6">
        <v>3</v>
      </c>
      <c r="D34" s="6">
        <v>0</v>
      </c>
      <c r="E34" s="6">
        <v>1</v>
      </c>
      <c r="F34" s="6">
        <v>2019</v>
      </c>
      <c r="G34" s="5">
        <v>8266.59</v>
      </c>
    </row>
    <row r="35" spans="1:7" x14ac:dyDescent="0.35">
      <c r="A35" s="6">
        <v>26</v>
      </c>
      <c r="B35" s="6">
        <v>0</v>
      </c>
      <c r="C35" s="6">
        <v>2</v>
      </c>
      <c r="D35" s="6">
        <v>1</v>
      </c>
      <c r="E35" s="6">
        <v>0</v>
      </c>
      <c r="F35" s="6">
        <v>2019</v>
      </c>
      <c r="G35" s="5">
        <v>51043.652999999998</v>
      </c>
    </row>
    <row r="36" spans="1:7" x14ac:dyDescent="0.35">
      <c r="A36" s="6">
        <v>27</v>
      </c>
      <c r="B36" s="6">
        <v>0</v>
      </c>
      <c r="C36" s="6">
        <v>1</v>
      </c>
      <c r="D36" s="6">
        <v>0</v>
      </c>
      <c r="E36" s="6">
        <v>0</v>
      </c>
      <c r="F36" s="6">
        <v>2019</v>
      </c>
      <c r="G36" s="5">
        <v>15175.546</v>
      </c>
    </row>
    <row r="37" spans="1:7" x14ac:dyDescent="0.35">
      <c r="A37" s="6">
        <v>28</v>
      </c>
      <c r="B37" s="6">
        <v>1</v>
      </c>
      <c r="C37" s="6">
        <v>3</v>
      </c>
      <c r="D37" s="6">
        <v>0</v>
      </c>
      <c r="E37" s="6">
        <v>1</v>
      </c>
      <c r="F37" s="6">
        <v>2019</v>
      </c>
      <c r="G37" s="5">
        <v>6684.9870000000001</v>
      </c>
    </row>
    <row r="38" spans="1:7" x14ac:dyDescent="0.35">
      <c r="A38" s="6">
        <v>29</v>
      </c>
      <c r="B38" s="6">
        <v>1</v>
      </c>
      <c r="C38" s="6">
        <v>2</v>
      </c>
      <c r="D38" s="6">
        <v>1</v>
      </c>
      <c r="E38" s="6">
        <v>0</v>
      </c>
      <c r="F38" s="6">
        <v>2019</v>
      </c>
      <c r="G38" s="5">
        <v>35303.462</v>
      </c>
    </row>
    <row r="39" spans="1:7" x14ac:dyDescent="0.35">
      <c r="A39" s="6">
        <v>30</v>
      </c>
      <c r="B39" s="6">
        <v>1</v>
      </c>
      <c r="C39" s="6">
        <v>1</v>
      </c>
      <c r="D39" s="6">
        <v>0</v>
      </c>
      <c r="E39" s="6">
        <v>0</v>
      </c>
      <c r="F39" s="6">
        <v>2019</v>
      </c>
      <c r="G39" s="5">
        <v>7257.8230000000003</v>
      </c>
    </row>
    <row r="40" spans="1:7" x14ac:dyDescent="0.35">
      <c r="A40" s="6">
        <v>31</v>
      </c>
      <c r="B40" s="6">
        <v>0</v>
      </c>
      <c r="C40" s="6">
        <v>3</v>
      </c>
      <c r="D40" s="6">
        <v>0</v>
      </c>
      <c r="E40" s="6">
        <v>1</v>
      </c>
      <c r="F40" s="6">
        <v>2017</v>
      </c>
      <c r="G40" s="5">
        <v>7210.2340000000004</v>
      </c>
    </row>
    <row r="41" spans="1:7" x14ac:dyDescent="0.35">
      <c r="A41" s="6">
        <v>32</v>
      </c>
      <c r="B41" s="6">
        <v>0</v>
      </c>
      <c r="C41" s="6">
        <v>2</v>
      </c>
      <c r="D41" s="6">
        <v>1</v>
      </c>
      <c r="E41" s="6">
        <v>0</v>
      </c>
      <c r="F41" s="6">
        <v>2017</v>
      </c>
      <c r="G41" s="5">
        <v>49277.485999999997</v>
      </c>
    </row>
    <row r="42" spans="1:7" x14ac:dyDescent="0.35">
      <c r="A42" s="6">
        <v>33</v>
      </c>
      <c r="B42" s="6">
        <v>0</v>
      </c>
      <c r="C42" s="6">
        <v>1</v>
      </c>
      <c r="D42" s="6">
        <v>0</v>
      </c>
      <c r="E42" s="6">
        <v>0</v>
      </c>
      <c r="F42" s="6">
        <v>2017</v>
      </c>
      <c r="G42" s="5">
        <v>13909.404</v>
      </c>
    </row>
    <row r="43" spans="1:7" x14ac:dyDescent="0.35">
      <c r="A43" s="6">
        <v>34</v>
      </c>
      <c r="B43" s="6">
        <v>1</v>
      </c>
      <c r="C43" s="6">
        <v>3</v>
      </c>
      <c r="D43" s="6">
        <v>0</v>
      </c>
      <c r="E43" s="6">
        <v>1</v>
      </c>
      <c r="F43" s="6">
        <v>2017</v>
      </c>
      <c r="G43" s="5">
        <v>5970.0360000000001</v>
      </c>
    </row>
    <row r="44" spans="1:7" x14ac:dyDescent="0.35">
      <c r="A44" s="6">
        <v>35</v>
      </c>
      <c r="B44" s="6">
        <v>1</v>
      </c>
      <c r="C44" s="6">
        <v>2</v>
      </c>
      <c r="D44" s="6">
        <v>1</v>
      </c>
      <c r="E44" s="6">
        <v>0</v>
      </c>
      <c r="F44" s="6">
        <v>2017</v>
      </c>
      <c r="G44" s="5">
        <v>33099.213000000003</v>
      </c>
    </row>
    <row r="45" spans="1:7" x14ac:dyDescent="0.35">
      <c r="A45" s="6">
        <v>36</v>
      </c>
      <c r="B45" s="6">
        <v>1</v>
      </c>
      <c r="C45" s="6">
        <v>1</v>
      </c>
      <c r="D45" s="6">
        <v>0</v>
      </c>
      <c r="E45" s="6">
        <v>0</v>
      </c>
      <c r="F45" s="6">
        <v>2017</v>
      </c>
      <c r="G45" s="5">
        <v>6624.2659999999996</v>
      </c>
    </row>
    <row r="46" spans="1:7" x14ac:dyDescent="0.35">
      <c r="A46" s="6">
        <v>37</v>
      </c>
      <c r="B46" s="6">
        <v>0</v>
      </c>
      <c r="C46" s="6">
        <v>3</v>
      </c>
      <c r="D46" s="6">
        <v>0</v>
      </c>
      <c r="E46" s="6">
        <v>1</v>
      </c>
      <c r="F46" s="6">
        <v>2016</v>
      </c>
      <c r="G46" s="5">
        <v>7496.27</v>
      </c>
    </row>
    <row r="47" spans="1:7" x14ac:dyDescent="0.35">
      <c r="A47" s="6">
        <v>38</v>
      </c>
      <c r="B47" s="6">
        <v>0</v>
      </c>
      <c r="C47" s="6">
        <v>2</v>
      </c>
      <c r="D47" s="6">
        <v>1</v>
      </c>
      <c r="E47" s="6">
        <v>0</v>
      </c>
      <c r="F47" s="6">
        <v>2016</v>
      </c>
      <c r="G47" s="5">
        <v>47713.982000000004</v>
      </c>
    </row>
    <row r="48" spans="1:7" x14ac:dyDescent="0.35">
      <c r="A48" s="6">
        <v>39</v>
      </c>
      <c r="B48" s="6">
        <v>0</v>
      </c>
      <c r="C48" s="6">
        <v>1</v>
      </c>
      <c r="D48" s="6">
        <v>0</v>
      </c>
      <c r="E48" s="6">
        <v>0</v>
      </c>
      <c r="F48" s="6">
        <v>2016</v>
      </c>
      <c r="G48" s="5">
        <v>13301.785</v>
      </c>
    </row>
    <row r="49" spans="1:7" x14ac:dyDescent="0.35">
      <c r="A49" s="6">
        <v>40</v>
      </c>
      <c r="B49" s="6">
        <v>1</v>
      </c>
      <c r="C49" s="6">
        <v>3</v>
      </c>
      <c r="D49" s="6">
        <v>0</v>
      </c>
      <c r="E49" s="6">
        <v>1</v>
      </c>
      <c r="F49" s="6">
        <v>2016</v>
      </c>
      <c r="G49" s="5">
        <v>7055.7160000000003</v>
      </c>
    </row>
    <row r="50" spans="1:7" x14ac:dyDescent="0.35">
      <c r="A50" s="6">
        <v>41</v>
      </c>
      <c r="B50" s="6">
        <v>1</v>
      </c>
      <c r="C50" s="6">
        <v>2</v>
      </c>
      <c r="D50" s="6">
        <v>1</v>
      </c>
      <c r="E50" s="6">
        <v>0</v>
      </c>
      <c r="F50" s="6">
        <v>2016</v>
      </c>
      <c r="G50" s="5">
        <v>30207.173999999999</v>
      </c>
    </row>
    <row r="51" spans="1:7" x14ac:dyDescent="0.35">
      <c r="A51" s="6">
        <v>42</v>
      </c>
      <c r="B51" s="6">
        <v>1</v>
      </c>
      <c r="C51" s="6">
        <v>1</v>
      </c>
      <c r="D51" s="6">
        <v>0</v>
      </c>
      <c r="E51" s="6">
        <v>0</v>
      </c>
      <c r="F51" s="6">
        <v>2016</v>
      </c>
      <c r="G51" s="5">
        <v>6784.6360000000004</v>
      </c>
    </row>
    <row r="52" spans="1:7" x14ac:dyDescent="0.35">
      <c r="A52" s="6">
        <v>43</v>
      </c>
      <c r="B52" s="6">
        <v>0</v>
      </c>
      <c r="C52" s="6">
        <v>3</v>
      </c>
      <c r="D52" s="6">
        <v>0</v>
      </c>
      <c r="E52" s="6">
        <v>1</v>
      </c>
      <c r="F52" s="6">
        <v>2015</v>
      </c>
      <c r="G52" s="5">
        <v>6260.3050000000003</v>
      </c>
    </row>
    <row r="53" spans="1:7" x14ac:dyDescent="0.35">
      <c r="A53" s="6">
        <v>44</v>
      </c>
      <c r="B53" s="6">
        <v>0</v>
      </c>
      <c r="C53" s="6">
        <v>2</v>
      </c>
      <c r="D53" s="6">
        <v>1</v>
      </c>
      <c r="E53" s="6">
        <v>0</v>
      </c>
      <c r="F53" s="6">
        <v>2015</v>
      </c>
      <c r="G53" s="5">
        <v>48491.731</v>
      </c>
    </row>
    <row r="54" spans="1:7" x14ac:dyDescent="0.35">
      <c r="A54" s="6">
        <v>45</v>
      </c>
      <c r="B54" s="6">
        <v>0</v>
      </c>
      <c r="C54" s="6">
        <v>1</v>
      </c>
      <c r="D54" s="6">
        <v>0</v>
      </c>
      <c r="E54" s="6">
        <v>0</v>
      </c>
      <c r="F54" s="6">
        <v>2015</v>
      </c>
      <c r="G54" s="5">
        <v>13992.143</v>
      </c>
    </row>
    <row r="55" spans="1:7" x14ac:dyDescent="0.35">
      <c r="A55" s="6">
        <v>46</v>
      </c>
      <c r="B55" s="6">
        <v>1</v>
      </c>
      <c r="C55" s="6">
        <v>3</v>
      </c>
      <c r="D55" s="6">
        <v>0</v>
      </c>
      <c r="E55" s="6">
        <v>1</v>
      </c>
      <c r="F55" s="6">
        <v>2015</v>
      </c>
      <c r="G55" s="5">
        <v>5137.0940000000001</v>
      </c>
    </row>
    <row r="56" spans="1:7" x14ac:dyDescent="0.35">
      <c r="A56" s="6">
        <v>47</v>
      </c>
      <c r="B56" s="6">
        <v>1</v>
      </c>
      <c r="C56" s="6">
        <v>2</v>
      </c>
      <c r="D56" s="6">
        <v>1</v>
      </c>
      <c r="E56" s="6">
        <v>0</v>
      </c>
      <c r="F56" s="6">
        <v>2015</v>
      </c>
      <c r="G56" s="5">
        <v>31624.342000000001</v>
      </c>
    </row>
    <row r="57" spans="1:7" x14ac:dyDescent="0.35">
      <c r="A57" s="6">
        <v>48</v>
      </c>
      <c r="B57" s="6">
        <v>1</v>
      </c>
      <c r="C57" s="6">
        <v>1</v>
      </c>
      <c r="D57" s="6">
        <v>0</v>
      </c>
      <c r="E57" s="6">
        <v>0</v>
      </c>
      <c r="F57" s="6">
        <v>2015</v>
      </c>
      <c r="G57" s="5">
        <v>6213.326</v>
      </c>
    </row>
    <row r="58" spans="1:7" x14ac:dyDescent="0.35">
      <c r="A58" s="6">
        <v>49</v>
      </c>
      <c r="B58" s="6">
        <v>0</v>
      </c>
      <c r="C58" s="6">
        <v>3</v>
      </c>
      <c r="D58" s="6">
        <v>0</v>
      </c>
      <c r="E58" s="6">
        <v>1</v>
      </c>
      <c r="F58" s="6">
        <v>2014</v>
      </c>
      <c r="G58" s="5">
        <v>5856.9459999999999</v>
      </c>
    </row>
    <row r="59" spans="1:7" x14ac:dyDescent="0.35">
      <c r="A59" s="6">
        <v>50</v>
      </c>
      <c r="B59" s="6">
        <v>0</v>
      </c>
      <c r="C59" s="6">
        <v>2</v>
      </c>
      <c r="D59" s="6">
        <v>1</v>
      </c>
      <c r="E59" s="6">
        <v>0</v>
      </c>
      <c r="F59" s="6">
        <v>2014</v>
      </c>
      <c r="G59" s="5">
        <v>49465.315000000002</v>
      </c>
    </row>
    <row r="60" spans="1:7" x14ac:dyDescent="0.35">
      <c r="A60" s="6">
        <v>51</v>
      </c>
      <c r="B60" s="6">
        <v>0</v>
      </c>
      <c r="C60" s="6">
        <v>1</v>
      </c>
      <c r="D60" s="6">
        <v>0</v>
      </c>
      <c r="E60" s="6">
        <v>0</v>
      </c>
      <c r="F60" s="6">
        <v>2014</v>
      </c>
      <c r="G60" s="5">
        <v>12882.967000000001</v>
      </c>
    </row>
    <row r="61" spans="1:7" x14ac:dyDescent="0.35">
      <c r="A61" s="6">
        <v>52</v>
      </c>
      <c r="B61" s="6">
        <v>1</v>
      </c>
      <c r="C61" s="6">
        <v>3</v>
      </c>
      <c r="D61" s="6">
        <v>0</v>
      </c>
      <c r="E61" s="6">
        <v>1</v>
      </c>
      <c r="F61" s="6">
        <v>2014</v>
      </c>
      <c r="G61" s="5">
        <v>4854.3850000000002</v>
      </c>
    </row>
    <row r="62" spans="1:7" x14ac:dyDescent="0.35">
      <c r="A62" s="6">
        <v>53</v>
      </c>
      <c r="B62" s="6">
        <v>1</v>
      </c>
      <c r="C62" s="6">
        <v>2</v>
      </c>
      <c r="D62" s="6">
        <v>1</v>
      </c>
      <c r="E62" s="6">
        <v>0</v>
      </c>
      <c r="F62" s="6">
        <v>2014</v>
      </c>
      <c r="G62" s="5">
        <v>31999.760999999999</v>
      </c>
    </row>
    <row r="63" spans="1:7" x14ac:dyDescent="0.35">
      <c r="A63" s="6">
        <v>54</v>
      </c>
      <c r="B63" s="6">
        <v>1</v>
      </c>
      <c r="C63" s="6">
        <v>1</v>
      </c>
      <c r="D63" s="6">
        <v>0</v>
      </c>
      <c r="E63" s="6">
        <v>0</v>
      </c>
      <c r="F63" s="6">
        <v>2014</v>
      </c>
      <c r="G63" s="5">
        <v>5609.5839999999998</v>
      </c>
    </row>
    <row r="64" spans="1:7" x14ac:dyDescent="0.35">
      <c r="A64" s="6">
        <v>55</v>
      </c>
      <c r="B64" s="6">
        <v>0</v>
      </c>
      <c r="C64" s="6">
        <v>3</v>
      </c>
      <c r="D64" s="6">
        <v>0</v>
      </c>
      <c r="E64" s="6">
        <v>1</v>
      </c>
      <c r="F64" s="6">
        <v>2013</v>
      </c>
      <c r="G64" s="5">
        <v>5735.3890000000001</v>
      </c>
    </row>
    <row r="65" spans="1:7" x14ac:dyDescent="0.35">
      <c r="A65" s="6">
        <v>56</v>
      </c>
      <c r="B65" s="6">
        <v>0</v>
      </c>
      <c r="C65" s="6">
        <v>2</v>
      </c>
      <c r="D65" s="6">
        <v>1</v>
      </c>
      <c r="E65" s="6">
        <v>0</v>
      </c>
      <c r="F65" s="6">
        <v>2013</v>
      </c>
      <c r="G65" s="5">
        <v>49225.752</v>
      </c>
    </row>
    <row r="66" spans="1:7" x14ac:dyDescent="0.35">
      <c r="A66" s="6">
        <v>57</v>
      </c>
      <c r="B66" s="6">
        <v>0</v>
      </c>
      <c r="C66" s="6">
        <v>1</v>
      </c>
      <c r="D66" s="6">
        <v>0</v>
      </c>
      <c r="E66" s="6">
        <v>0</v>
      </c>
      <c r="F66" s="6">
        <v>2013</v>
      </c>
      <c r="G66" s="5">
        <v>12189.418</v>
      </c>
    </row>
    <row r="67" spans="1:7" x14ac:dyDescent="0.35">
      <c r="A67" s="6">
        <v>58</v>
      </c>
      <c r="B67" s="6">
        <v>1</v>
      </c>
      <c r="C67" s="6">
        <v>3</v>
      </c>
      <c r="D67" s="6">
        <v>0</v>
      </c>
      <c r="E67" s="6">
        <v>1</v>
      </c>
      <c r="F67" s="6">
        <v>2013</v>
      </c>
      <c r="G67" s="5">
        <v>4577.366</v>
      </c>
    </row>
    <row r="68" spans="1:7" x14ac:dyDescent="0.35">
      <c r="A68" s="6">
        <v>59</v>
      </c>
      <c r="B68" s="6">
        <v>1</v>
      </c>
      <c r="C68" s="6">
        <v>2</v>
      </c>
      <c r="D68" s="6">
        <v>1</v>
      </c>
      <c r="E68" s="6">
        <v>0</v>
      </c>
      <c r="F68" s="6">
        <v>2013</v>
      </c>
      <c r="G68" s="5">
        <v>31708.381000000001</v>
      </c>
    </row>
    <row r="69" spans="1:7" x14ac:dyDescent="0.35">
      <c r="A69" s="6">
        <v>60</v>
      </c>
      <c r="B69" s="6">
        <v>1</v>
      </c>
      <c r="C69" s="6">
        <v>1</v>
      </c>
      <c r="D69" s="6">
        <v>0</v>
      </c>
      <c r="E69" s="6">
        <v>0</v>
      </c>
      <c r="F69" s="6">
        <v>2013</v>
      </c>
      <c r="G69" s="5">
        <v>5431.6109999999999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9F81-5A63-4EBC-A733-9AA2B7162957}">
  <dimension ref="A1:I20"/>
  <sheetViews>
    <sheetView workbookViewId="0">
      <selection activeCell="B5" sqref="B5"/>
    </sheetView>
  </sheetViews>
  <sheetFormatPr defaultRowHeight="14.5" x14ac:dyDescent="0.35"/>
  <cols>
    <col min="1" max="1" width="24.08984375" bestFit="1" customWidth="1"/>
    <col min="2" max="2" width="12.6328125" bestFit="1" customWidth="1"/>
    <col min="3" max="3" width="13.453125" bestFit="1" customWidth="1"/>
    <col min="4" max="4" width="12.6328125" bestFit="1" customWidth="1"/>
    <col min="5" max="5" width="12" bestFit="1" customWidth="1"/>
    <col min="6" max="6" width="12.6328125" bestFit="1" customWidth="1"/>
    <col min="7" max="7" width="12" bestFit="1" customWidth="1"/>
    <col min="8" max="8" width="12.6328125" bestFit="1" customWidth="1"/>
    <col min="9" max="9" width="12.08984375" bestFit="1" customWidth="1"/>
  </cols>
  <sheetData>
    <row r="1" spans="1:9" x14ac:dyDescent="0.35">
      <c r="A1" t="s">
        <v>60</v>
      </c>
    </row>
    <row r="2" spans="1:9" ht="15" thickBot="1" x14ac:dyDescent="0.4"/>
    <row r="3" spans="1:9" x14ac:dyDescent="0.35">
      <c r="A3" s="10" t="s">
        <v>61</v>
      </c>
      <c r="B3" s="10"/>
    </row>
    <row r="4" spans="1:9" x14ac:dyDescent="0.35">
      <c r="A4" t="s">
        <v>62</v>
      </c>
      <c r="B4">
        <v>0.28272570454894907</v>
      </c>
    </row>
    <row r="5" spans="1:9" x14ac:dyDescent="0.35">
      <c r="A5" t="s">
        <v>63</v>
      </c>
      <c r="B5">
        <v>7.9933824012699606E-2</v>
      </c>
    </row>
    <row r="6" spans="1:9" x14ac:dyDescent="0.35">
      <c r="A6" t="s">
        <v>64</v>
      </c>
      <c r="B6">
        <v>3.0644564584808558E-2</v>
      </c>
    </row>
    <row r="7" spans="1:9" x14ac:dyDescent="0.35">
      <c r="A7" t="s">
        <v>65</v>
      </c>
      <c r="B7">
        <v>16497.194448226099</v>
      </c>
    </row>
    <row r="8" spans="1:9" ht="15" thickBot="1" x14ac:dyDescent="0.4">
      <c r="A8" s="8" t="s">
        <v>66</v>
      </c>
      <c r="B8" s="8">
        <v>60</v>
      </c>
    </row>
    <row r="10" spans="1:9" ht="15" thickBot="1" x14ac:dyDescent="0.4">
      <c r="A10" t="s">
        <v>67</v>
      </c>
    </row>
    <row r="11" spans="1:9" x14ac:dyDescent="0.35">
      <c r="A11" s="9"/>
      <c r="B11" s="9" t="s">
        <v>71</v>
      </c>
      <c r="C11" s="9" t="s">
        <v>72</v>
      </c>
      <c r="D11" s="9" t="s">
        <v>73</v>
      </c>
      <c r="E11" s="9" t="s">
        <v>74</v>
      </c>
      <c r="F11" s="9" t="s">
        <v>75</v>
      </c>
    </row>
    <row r="12" spans="1:9" x14ac:dyDescent="0.35">
      <c r="A12" t="s">
        <v>68</v>
      </c>
      <c r="B12">
        <v>3</v>
      </c>
      <c r="C12">
        <v>1324096807.6557198</v>
      </c>
      <c r="D12">
        <v>441365602.55190659</v>
      </c>
      <c r="E12">
        <v>1.6217290529520079</v>
      </c>
      <c r="F12">
        <v>0.19460228514094238</v>
      </c>
    </row>
    <row r="13" spans="1:9" x14ac:dyDescent="0.35">
      <c r="A13" t="s">
        <v>69</v>
      </c>
      <c r="B13">
        <v>56</v>
      </c>
      <c r="C13">
        <v>15240815781.104593</v>
      </c>
      <c r="D13">
        <v>272157424.66258204</v>
      </c>
    </row>
    <row r="14" spans="1:9" ht="15" thickBot="1" x14ac:dyDescent="0.4">
      <c r="A14" s="8" t="s">
        <v>15</v>
      </c>
      <c r="B14" s="8">
        <v>59</v>
      </c>
      <c r="C14" s="8">
        <v>16564912588.760313</v>
      </c>
      <c r="D14" s="8"/>
      <c r="E14" s="8"/>
      <c r="F14" s="8"/>
    </row>
    <row r="15" spans="1:9" ht="15" thickBot="1" x14ac:dyDescent="0.4"/>
    <row r="16" spans="1:9" x14ac:dyDescent="0.35">
      <c r="A16" s="9"/>
      <c r="B16" s="9" t="s">
        <v>76</v>
      </c>
      <c r="C16" s="9" t="s">
        <v>65</v>
      </c>
      <c r="D16" s="9" t="s">
        <v>77</v>
      </c>
      <c r="E16" s="9" t="s">
        <v>78</v>
      </c>
      <c r="F16" s="9" t="s">
        <v>79</v>
      </c>
      <c r="G16" s="9" t="s">
        <v>80</v>
      </c>
      <c r="H16" s="9" t="s">
        <v>81</v>
      </c>
      <c r="I16" s="9" t="s">
        <v>82</v>
      </c>
    </row>
    <row r="17" spans="1:9" x14ac:dyDescent="0.35">
      <c r="A17" t="s">
        <v>70</v>
      </c>
      <c r="B17">
        <v>-647966.04244242399</v>
      </c>
      <c r="C17">
        <v>1295877.5908363448</v>
      </c>
      <c r="D17">
        <v>-0.50002102592439612</v>
      </c>
      <c r="E17">
        <v>0.61901951165737235</v>
      </c>
      <c r="F17">
        <v>-3243920.7990482729</v>
      </c>
      <c r="G17">
        <v>1947988.7141634247</v>
      </c>
      <c r="H17">
        <v>-3243920.7990482729</v>
      </c>
      <c r="I17">
        <v>1947988.7141634247</v>
      </c>
    </row>
    <row r="18" spans="1:9" x14ac:dyDescent="0.35">
      <c r="A18" t="s">
        <v>56</v>
      </c>
      <c r="B18">
        <v>-8495.1520333333319</v>
      </c>
      <c r="C18">
        <v>4259.5572904750088</v>
      </c>
      <c r="D18">
        <v>-1.9943744041968237</v>
      </c>
      <c r="E18">
        <v>5.0988053087079287E-2</v>
      </c>
      <c r="F18">
        <v>-17028.070641878185</v>
      </c>
      <c r="G18">
        <v>37.766575211520831</v>
      </c>
      <c r="H18">
        <v>-17028.070641878185</v>
      </c>
      <c r="I18">
        <v>37.766575211520831</v>
      </c>
    </row>
    <row r="19" spans="1:9" x14ac:dyDescent="0.35">
      <c r="A19" t="s">
        <v>57</v>
      </c>
      <c r="B19">
        <v>-2046.4280499999993</v>
      </c>
      <c r="C19">
        <v>2608.43547295396</v>
      </c>
      <c r="D19">
        <v>-0.78454233245129601</v>
      </c>
      <c r="E19">
        <v>0.43602824363246917</v>
      </c>
      <c r="F19">
        <v>-7271.7522019085809</v>
      </c>
      <c r="G19">
        <v>3178.8961019085818</v>
      </c>
      <c r="H19">
        <v>-7271.7522019085809</v>
      </c>
      <c r="I19">
        <v>3178.8961019085818</v>
      </c>
    </row>
    <row r="20" spans="1:9" ht="15" thickBot="1" x14ac:dyDescent="0.4">
      <c r="A20" s="8" t="s">
        <v>59</v>
      </c>
      <c r="B20" s="8">
        <v>334.99881515151503</v>
      </c>
      <c r="C20" s="8">
        <v>642.15242297856753</v>
      </c>
      <c r="D20" s="8">
        <v>0.52168115102276258</v>
      </c>
      <c r="E20" s="8">
        <v>0.6039496437858225</v>
      </c>
      <c r="F20" s="8">
        <v>-951.38706626597389</v>
      </c>
      <c r="G20" s="8">
        <v>1621.3846965690041</v>
      </c>
      <c r="H20" s="8">
        <v>-951.38706626597389</v>
      </c>
      <c r="I20" s="8">
        <v>1621.3846965690041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ABB7-EFCE-4832-B89F-91FD5C6C88B6}">
  <dimension ref="A1:I22"/>
  <sheetViews>
    <sheetView workbookViewId="0">
      <selection activeCell="B5" sqref="B5"/>
    </sheetView>
  </sheetViews>
  <sheetFormatPr defaultRowHeight="14.5" x14ac:dyDescent="0.35"/>
  <cols>
    <col min="1" max="1" width="24.08984375" bestFit="1" customWidth="1"/>
    <col min="2" max="2" width="12.6328125" bestFit="1" customWidth="1"/>
    <col min="3" max="3" width="13.453125" bestFit="1" customWidth="1"/>
    <col min="4" max="4" width="12.6328125" bestFit="1" customWidth="1"/>
    <col min="5" max="5" width="12" bestFit="1" customWidth="1"/>
    <col min="6" max="9" width="12.6328125" bestFit="1" customWidth="1"/>
  </cols>
  <sheetData>
    <row r="1" spans="1:9" x14ac:dyDescent="0.35">
      <c r="A1" t="s">
        <v>60</v>
      </c>
    </row>
    <row r="2" spans="1:9" ht="15" thickBot="1" x14ac:dyDescent="0.4"/>
    <row r="3" spans="1:9" x14ac:dyDescent="0.35">
      <c r="A3" s="10" t="s">
        <v>61</v>
      </c>
      <c r="B3" s="10"/>
    </row>
    <row r="4" spans="1:9" x14ac:dyDescent="0.35">
      <c r="A4" t="s">
        <v>62</v>
      </c>
      <c r="B4">
        <v>0.98002207167913769</v>
      </c>
    </row>
    <row r="5" spans="1:9" x14ac:dyDescent="0.35">
      <c r="A5" t="s">
        <v>63</v>
      </c>
      <c r="B5">
        <v>0.96044326097826882</v>
      </c>
    </row>
    <row r="6" spans="1:9" x14ac:dyDescent="0.35">
      <c r="A6" t="s">
        <v>64</v>
      </c>
      <c r="B6">
        <v>0.93938458904941557</v>
      </c>
    </row>
    <row r="7" spans="1:9" x14ac:dyDescent="0.35">
      <c r="A7" t="s">
        <v>65</v>
      </c>
      <c r="B7">
        <v>3451.6239239770262</v>
      </c>
    </row>
    <row r="8" spans="1:9" ht="15" thickBot="1" x14ac:dyDescent="0.4">
      <c r="A8" s="8" t="s">
        <v>66</v>
      </c>
      <c r="B8" s="8">
        <v>60</v>
      </c>
    </row>
    <row r="10" spans="1:9" ht="15" thickBot="1" x14ac:dyDescent="0.4">
      <c r="A10" t="s">
        <v>67</v>
      </c>
    </row>
    <row r="11" spans="1:9" x14ac:dyDescent="0.35">
      <c r="A11" s="9"/>
      <c r="B11" s="9" t="s">
        <v>71</v>
      </c>
      <c r="C11" s="9" t="s">
        <v>72</v>
      </c>
      <c r="D11" s="9" t="s">
        <v>73</v>
      </c>
      <c r="E11" s="9" t="s">
        <v>74</v>
      </c>
      <c r="F11" s="9" t="s">
        <v>75</v>
      </c>
    </row>
    <row r="12" spans="1:9" x14ac:dyDescent="0.35">
      <c r="A12" t="s">
        <v>68</v>
      </c>
      <c r="B12">
        <v>5</v>
      </c>
      <c r="C12">
        <v>15909658664.568932</v>
      </c>
      <c r="D12">
        <v>3181931732.9137864</v>
      </c>
      <c r="E12">
        <v>333.85195961669649</v>
      </c>
      <c r="F12">
        <v>2.666995166334338E-39</v>
      </c>
    </row>
    <row r="13" spans="1:9" x14ac:dyDescent="0.35">
      <c r="A13" t="s">
        <v>69</v>
      </c>
      <c r="B13">
        <v>55</v>
      </c>
      <c r="C13">
        <v>655253924.19138098</v>
      </c>
      <c r="D13">
        <v>11913707.712570563</v>
      </c>
    </row>
    <row r="14" spans="1:9" ht="15" thickBot="1" x14ac:dyDescent="0.4">
      <c r="A14" s="8" t="s">
        <v>15</v>
      </c>
      <c r="B14" s="8">
        <v>60</v>
      </c>
      <c r="C14" s="8">
        <v>16564912588.760313</v>
      </c>
      <c r="D14" s="8"/>
      <c r="E14" s="8"/>
      <c r="F14" s="8"/>
    </row>
    <row r="15" spans="1:9" ht="15" thickBot="1" x14ac:dyDescent="0.4"/>
    <row r="16" spans="1:9" x14ac:dyDescent="0.35">
      <c r="A16" s="9"/>
      <c r="B16" s="9" t="s">
        <v>76</v>
      </c>
      <c r="C16" s="9" t="s">
        <v>65</v>
      </c>
      <c r="D16" s="9" t="s">
        <v>77</v>
      </c>
      <c r="E16" s="9" t="s">
        <v>78</v>
      </c>
      <c r="F16" s="9" t="s">
        <v>79</v>
      </c>
      <c r="G16" s="9" t="s">
        <v>80</v>
      </c>
      <c r="H16" s="9" t="s">
        <v>81</v>
      </c>
      <c r="I16" s="9" t="s">
        <v>82</v>
      </c>
    </row>
    <row r="17" spans="1:9" x14ac:dyDescent="0.35">
      <c r="A17" t="s">
        <v>70</v>
      </c>
      <c r="B17">
        <v>-658990.84850908956</v>
      </c>
      <c r="C17">
        <v>271130.04756902874</v>
      </c>
      <c r="D17">
        <v>-2.430534182462063</v>
      </c>
      <c r="E17">
        <v>1.8365706548926383E-2</v>
      </c>
      <c r="F17">
        <v>-1202347.6059327396</v>
      </c>
      <c r="G17">
        <v>-115634.09108543966</v>
      </c>
      <c r="H17">
        <v>-1202347.6059327396</v>
      </c>
      <c r="I17">
        <v>-115634.09108543966</v>
      </c>
    </row>
    <row r="18" spans="1:9" x14ac:dyDescent="0.35">
      <c r="A18" t="s">
        <v>56</v>
      </c>
      <c r="B18">
        <v>-8495.1520333333283</v>
      </c>
      <c r="C18">
        <v>891.20546499560771</v>
      </c>
      <c r="D18">
        <v>-9.5322037027400821</v>
      </c>
      <c r="E18">
        <v>3.0168531951675329E-13</v>
      </c>
      <c r="F18">
        <v>-10281.167696296554</v>
      </c>
      <c r="G18">
        <v>-6709.1363703701036</v>
      </c>
      <c r="H18">
        <v>-10281.167696296554</v>
      </c>
      <c r="I18">
        <v>-6709.1363703701036</v>
      </c>
    </row>
    <row r="19" spans="1:9" x14ac:dyDescent="0.35">
      <c r="A19" t="s">
        <v>57</v>
      </c>
      <c r="B19">
        <v>-2046.4280499999977</v>
      </c>
      <c r="C19">
        <v>545.74966130476344</v>
      </c>
      <c r="D19">
        <v>-3.7497559688950668</v>
      </c>
      <c r="E19">
        <v>4.2710378501611631E-4</v>
      </c>
      <c r="F19">
        <v>-3140.1348117196267</v>
      </c>
      <c r="G19">
        <v>-952.72128828036853</v>
      </c>
      <c r="H19">
        <v>-3140.1348117196267</v>
      </c>
      <c r="I19">
        <v>-952.72128828036853</v>
      </c>
    </row>
    <row r="20" spans="1:9" x14ac:dyDescent="0.35">
      <c r="A20" t="s">
        <v>83</v>
      </c>
      <c r="B20">
        <v>33074.4182</v>
      </c>
      <c r="C20">
        <v>945.26614159335713</v>
      </c>
      <c r="D20">
        <v>34.989530191200103</v>
      </c>
      <c r="E20">
        <v>2.867639810088372E-39</v>
      </c>
      <c r="F20">
        <v>31180.062520119973</v>
      </c>
      <c r="G20">
        <v>34968.773879880027</v>
      </c>
      <c r="H20">
        <v>31180.062520119973</v>
      </c>
      <c r="I20">
        <v>34968.773879880027</v>
      </c>
    </row>
    <row r="21" spans="1:9" x14ac:dyDescent="0.35">
      <c r="A21" t="s">
        <v>84</v>
      </c>
      <c r="B21">
        <v>0</v>
      </c>
      <c r="C21">
        <v>0</v>
      </c>
      <c r="D21">
        <v>65535</v>
      </c>
      <c r="E21" t="e">
        <v>#NUM!</v>
      </c>
      <c r="F21">
        <v>0</v>
      </c>
      <c r="G21">
        <v>0</v>
      </c>
      <c r="H21">
        <v>0</v>
      </c>
      <c r="I21">
        <v>0</v>
      </c>
    </row>
    <row r="22" spans="1:9" ht="15" thickBot="1" x14ac:dyDescent="0.4">
      <c r="A22" s="8" t="s">
        <v>59</v>
      </c>
      <c r="B22" s="8">
        <v>334.99881515151446</v>
      </c>
      <c r="C22" s="8">
        <v>134.35427902293833</v>
      </c>
      <c r="D22" s="8">
        <v>2.4933989269840824</v>
      </c>
      <c r="E22" s="8" t="e">
        <v>#NUM!</v>
      </c>
      <c r="F22" s="8">
        <v>65.746823163020622</v>
      </c>
      <c r="G22" s="8">
        <v>604.25080714000831</v>
      </c>
      <c r="H22" s="8">
        <v>65.746823163020622</v>
      </c>
      <c r="I22" s="8">
        <v>604.25080714000831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42AC-D48A-490B-915F-4F070849475F}">
  <dimension ref="A1:L69"/>
  <sheetViews>
    <sheetView workbookViewId="0">
      <selection activeCell="J12" sqref="J12"/>
    </sheetView>
  </sheetViews>
  <sheetFormatPr defaultRowHeight="14.5" x14ac:dyDescent="0.35"/>
  <cols>
    <col min="1" max="1" width="11.08984375" customWidth="1"/>
    <col min="2" max="2" width="12.1796875" customWidth="1"/>
    <col min="3" max="3" width="26.6328125" customWidth="1"/>
    <col min="4" max="4" width="17.36328125" bestFit="1" customWidth="1"/>
    <col min="5" max="5" width="15.90625" customWidth="1"/>
    <col min="6" max="6" width="9.453125" customWidth="1"/>
    <col min="7" max="7" width="11.6328125" customWidth="1"/>
  </cols>
  <sheetData>
    <row r="1" spans="1:12" x14ac:dyDescent="0.35">
      <c r="A1" s="2" t="s">
        <v>14</v>
      </c>
    </row>
    <row r="2" spans="1:12" x14ac:dyDescent="0.35">
      <c r="H2" s="2" t="s">
        <v>49</v>
      </c>
      <c r="L2" s="2" t="s">
        <v>50</v>
      </c>
    </row>
    <row r="3" spans="1:12" x14ac:dyDescent="0.35">
      <c r="A3" s="2" t="s">
        <v>37</v>
      </c>
      <c r="B3" t="s">
        <v>12</v>
      </c>
      <c r="H3" t="s">
        <v>46</v>
      </c>
      <c r="L3" t="s">
        <v>51</v>
      </c>
    </row>
    <row r="4" spans="1:12" x14ac:dyDescent="0.35">
      <c r="A4" s="2" t="s">
        <v>38</v>
      </c>
      <c r="B4" t="s">
        <v>39</v>
      </c>
      <c r="H4" t="s">
        <v>47</v>
      </c>
      <c r="L4" t="s">
        <v>52</v>
      </c>
    </row>
    <row r="5" spans="1:12" x14ac:dyDescent="0.35">
      <c r="B5" s="3" t="s">
        <v>40</v>
      </c>
      <c r="H5" t="s">
        <v>48</v>
      </c>
    </row>
    <row r="6" spans="1:12" x14ac:dyDescent="0.35">
      <c r="B6" s="3"/>
    </row>
    <row r="7" spans="1:12" x14ac:dyDescent="0.35">
      <c r="A7" s="2" t="s">
        <v>42</v>
      </c>
      <c r="B7" s="4" t="s">
        <v>43</v>
      </c>
      <c r="J7" s="2" t="s">
        <v>89</v>
      </c>
      <c r="L7">
        <f>COUNT(G10:G69)</f>
        <v>60</v>
      </c>
    </row>
    <row r="8" spans="1:12" x14ac:dyDescent="0.35">
      <c r="B8" s="2"/>
      <c r="J8" s="2" t="s">
        <v>90</v>
      </c>
      <c r="L8">
        <v>4</v>
      </c>
    </row>
    <row r="9" spans="1:12" x14ac:dyDescent="0.35">
      <c r="A9" s="7" t="s">
        <v>55</v>
      </c>
      <c r="B9" s="11" t="s">
        <v>56</v>
      </c>
      <c r="C9" s="7" t="s">
        <v>85</v>
      </c>
      <c r="D9" s="12" t="s">
        <v>86</v>
      </c>
      <c r="E9" s="12" t="s">
        <v>87</v>
      </c>
      <c r="F9" s="11" t="s">
        <v>59</v>
      </c>
      <c r="G9" s="13" t="s">
        <v>58</v>
      </c>
      <c r="I9" s="2"/>
      <c r="J9" s="2" t="s">
        <v>91</v>
      </c>
      <c r="L9">
        <f>AVERAGE(G10:G69)</f>
        <v>19721.134416666671</v>
      </c>
    </row>
    <row r="10" spans="1:12" x14ac:dyDescent="0.35">
      <c r="A10" s="6">
        <v>1</v>
      </c>
      <c r="B10" s="6">
        <v>0</v>
      </c>
      <c r="C10" s="6">
        <v>3</v>
      </c>
      <c r="D10" s="6">
        <v>0</v>
      </c>
      <c r="E10" s="6">
        <v>1</v>
      </c>
      <c r="F10" s="6">
        <v>2023</v>
      </c>
      <c r="G10" s="5">
        <v>7911.1139999999996</v>
      </c>
    </row>
    <row r="11" spans="1:12" x14ac:dyDescent="0.35">
      <c r="A11" s="6">
        <v>2</v>
      </c>
      <c r="B11" s="6">
        <v>0</v>
      </c>
      <c r="C11" s="6">
        <v>2</v>
      </c>
      <c r="D11" s="6">
        <v>1</v>
      </c>
      <c r="E11" s="6">
        <v>0</v>
      </c>
      <c r="F11" s="6">
        <v>2023</v>
      </c>
      <c r="G11" s="5">
        <v>53195.45</v>
      </c>
    </row>
    <row r="12" spans="1:12" x14ac:dyDescent="0.35">
      <c r="A12" s="6">
        <v>3</v>
      </c>
      <c r="B12" s="6">
        <v>0</v>
      </c>
      <c r="C12" s="6">
        <v>1</v>
      </c>
      <c r="D12" s="6">
        <v>0</v>
      </c>
      <c r="E12" s="6">
        <v>0</v>
      </c>
      <c r="F12" s="6">
        <v>2023</v>
      </c>
      <c r="G12" s="5">
        <v>17413.935000000001</v>
      </c>
    </row>
    <row r="13" spans="1:12" x14ac:dyDescent="0.35">
      <c r="A13" s="6">
        <v>4</v>
      </c>
      <c r="B13" s="6">
        <v>1</v>
      </c>
      <c r="C13" s="6">
        <v>3</v>
      </c>
      <c r="D13" s="6">
        <v>0</v>
      </c>
      <c r="E13" s="6">
        <v>1</v>
      </c>
      <c r="F13" s="6">
        <v>2023</v>
      </c>
      <c r="G13" s="5">
        <v>7212.9009999999998</v>
      </c>
    </row>
    <row r="14" spans="1:12" x14ac:dyDescent="0.35">
      <c r="A14" s="6">
        <v>5</v>
      </c>
      <c r="B14" s="6">
        <v>1</v>
      </c>
      <c r="C14" s="6">
        <v>2</v>
      </c>
      <c r="D14" s="6">
        <v>1</v>
      </c>
      <c r="E14" s="6">
        <v>0</v>
      </c>
      <c r="F14" s="6">
        <v>2023</v>
      </c>
      <c r="G14" s="5">
        <v>35508.483999999997</v>
      </c>
    </row>
    <row r="15" spans="1:12" x14ac:dyDescent="0.35">
      <c r="A15" s="6">
        <v>6</v>
      </c>
      <c r="B15" s="6">
        <v>1</v>
      </c>
      <c r="C15" s="6">
        <v>1</v>
      </c>
      <c r="D15" s="6">
        <v>0</v>
      </c>
      <c r="E15" s="6">
        <v>0</v>
      </c>
      <c r="F15" s="6">
        <v>2023</v>
      </c>
      <c r="G15" s="5">
        <v>8143.9160000000002</v>
      </c>
    </row>
    <row r="16" spans="1:12" x14ac:dyDescent="0.35">
      <c r="A16" s="6">
        <v>7</v>
      </c>
      <c r="B16" s="6">
        <v>0</v>
      </c>
      <c r="C16" s="6">
        <v>3</v>
      </c>
      <c r="D16" s="6">
        <v>0</v>
      </c>
      <c r="E16" s="6">
        <v>1</v>
      </c>
      <c r="F16" s="6">
        <v>2022</v>
      </c>
      <c r="G16" s="5">
        <v>7592.6880000000001</v>
      </c>
    </row>
    <row r="17" spans="1:7" x14ac:dyDescent="0.35">
      <c r="A17" s="6">
        <v>8</v>
      </c>
      <c r="B17" s="6">
        <v>0</v>
      </c>
      <c r="C17" s="6">
        <v>2</v>
      </c>
      <c r="D17" s="6">
        <v>1</v>
      </c>
      <c r="E17" s="6">
        <v>0</v>
      </c>
      <c r="F17" s="6">
        <v>2022</v>
      </c>
      <c r="G17" s="5">
        <v>52196.947999999997</v>
      </c>
    </row>
    <row r="18" spans="1:7" x14ac:dyDescent="0.35">
      <c r="A18" s="6">
        <v>9</v>
      </c>
      <c r="B18" s="6">
        <v>0</v>
      </c>
      <c r="C18" s="6">
        <v>1</v>
      </c>
      <c r="D18" s="6">
        <v>0</v>
      </c>
      <c r="E18" s="6">
        <v>0</v>
      </c>
      <c r="F18" s="6">
        <v>2022</v>
      </c>
      <c r="G18" s="5">
        <v>16392.506000000001</v>
      </c>
    </row>
    <row r="19" spans="1:7" x14ac:dyDescent="0.35">
      <c r="A19" s="6">
        <v>10</v>
      </c>
      <c r="B19" s="6">
        <v>1</v>
      </c>
      <c r="C19" s="6">
        <v>3</v>
      </c>
      <c r="D19" s="6">
        <v>0</v>
      </c>
      <c r="E19" s="6">
        <v>1</v>
      </c>
      <c r="F19" s="6">
        <v>2022</v>
      </c>
      <c r="G19" s="5">
        <v>6778.7820000000002</v>
      </c>
    </row>
    <row r="20" spans="1:7" x14ac:dyDescent="0.35">
      <c r="A20" s="6">
        <v>11</v>
      </c>
      <c r="B20" s="6">
        <v>1</v>
      </c>
      <c r="C20" s="6">
        <v>2</v>
      </c>
      <c r="D20" s="6">
        <v>1</v>
      </c>
      <c r="E20" s="6">
        <v>0</v>
      </c>
      <c r="F20" s="6">
        <v>2022</v>
      </c>
      <c r="G20" s="5">
        <v>35146.932999999997</v>
      </c>
    </row>
    <row r="21" spans="1:7" x14ac:dyDescent="0.35">
      <c r="A21" s="6">
        <v>12</v>
      </c>
      <c r="B21" s="6">
        <v>1</v>
      </c>
      <c r="C21" s="6">
        <v>1</v>
      </c>
      <c r="D21" s="6">
        <v>0</v>
      </c>
      <c r="E21" s="6">
        <v>0</v>
      </c>
      <c r="F21" s="6">
        <v>2022</v>
      </c>
      <c r="G21" s="5">
        <v>7596.62</v>
      </c>
    </row>
    <row r="22" spans="1:7" x14ac:dyDescent="0.35">
      <c r="A22" s="6">
        <v>13</v>
      </c>
      <c r="B22" s="6">
        <v>0</v>
      </c>
      <c r="C22" s="6">
        <v>3</v>
      </c>
      <c r="D22" s="6">
        <v>0</v>
      </c>
      <c r="E22" s="6">
        <v>1</v>
      </c>
      <c r="F22" s="6">
        <v>2021</v>
      </c>
      <c r="G22" s="5">
        <v>7300.0709999999999</v>
      </c>
    </row>
    <row r="23" spans="1:7" x14ac:dyDescent="0.35">
      <c r="A23" s="6">
        <v>14</v>
      </c>
      <c r="B23" s="6">
        <v>0</v>
      </c>
      <c r="C23" s="6">
        <v>2</v>
      </c>
      <c r="D23" s="6">
        <v>1</v>
      </c>
      <c r="E23" s="6">
        <v>0</v>
      </c>
      <c r="F23" s="6">
        <v>2021</v>
      </c>
      <c r="G23" s="5">
        <v>49974.008999999998</v>
      </c>
    </row>
    <row r="24" spans="1:7" x14ac:dyDescent="0.35">
      <c r="A24" s="6">
        <v>15</v>
      </c>
      <c r="B24" s="6">
        <v>0</v>
      </c>
      <c r="C24" s="6">
        <v>1</v>
      </c>
      <c r="D24" s="6">
        <v>0</v>
      </c>
      <c r="E24" s="6">
        <v>0</v>
      </c>
      <c r="F24" s="6">
        <v>2021</v>
      </c>
      <c r="G24" s="5">
        <v>15840.63</v>
      </c>
    </row>
    <row r="25" spans="1:7" x14ac:dyDescent="0.35">
      <c r="A25" s="6">
        <v>16</v>
      </c>
      <c r="B25" s="6">
        <v>1</v>
      </c>
      <c r="C25" s="6">
        <v>3</v>
      </c>
      <c r="D25" s="6">
        <v>0</v>
      </c>
      <c r="E25" s="6">
        <v>1</v>
      </c>
      <c r="F25" s="6">
        <v>2021</v>
      </c>
      <c r="G25" s="5">
        <v>6652.2889999999998</v>
      </c>
    </row>
    <row r="26" spans="1:7" x14ac:dyDescent="0.35">
      <c r="A26" s="6">
        <v>17</v>
      </c>
      <c r="B26" s="6">
        <v>1</v>
      </c>
      <c r="C26" s="6">
        <v>2</v>
      </c>
      <c r="D26" s="6">
        <v>1</v>
      </c>
      <c r="E26" s="6">
        <v>0</v>
      </c>
      <c r="F26" s="6">
        <v>2021</v>
      </c>
      <c r="G26" s="5">
        <v>34688.707000000002</v>
      </c>
    </row>
    <row r="27" spans="1:7" x14ac:dyDescent="0.35">
      <c r="A27" s="6">
        <v>18</v>
      </c>
      <c r="B27" s="6">
        <v>1</v>
      </c>
      <c r="C27" s="6">
        <v>1</v>
      </c>
      <c r="D27" s="6">
        <v>0</v>
      </c>
      <c r="E27" s="6">
        <v>0</v>
      </c>
      <c r="F27" s="6">
        <v>2021</v>
      </c>
      <c r="G27" s="5">
        <v>7467.13</v>
      </c>
    </row>
    <row r="28" spans="1:7" x14ac:dyDescent="0.35">
      <c r="A28" s="6">
        <v>19</v>
      </c>
      <c r="B28" s="6">
        <v>0</v>
      </c>
      <c r="C28" s="6">
        <v>3</v>
      </c>
      <c r="D28" s="6">
        <v>0</v>
      </c>
      <c r="E28" s="6">
        <v>1</v>
      </c>
      <c r="F28" s="6">
        <v>2020</v>
      </c>
      <c r="G28" s="5">
        <v>7753.5060000000003</v>
      </c>
    </row>
    <row r="29" spans="1:7" x14ac:dyDescent="0.35">
      <c r="A29" s="6">
        <v>20</v>
      </c>
      <c r="B29" s="6">
        <v>0</v>
      </c>
      <c r="C29" s="6">
        <v>2</v>
      </c>
      <c r="D29" s="6">
        <v>1</v>
      </c>
      <c r="E29" s="6">
        <v>0</v>
      </c>
      <c r="F29" s="6">
        <v>2020</v>
      </c>
      <c r="G29" s="5">
        <v>50745.207999999999</v>
      </c>
    </row>
    <row r="30" spans="1:7" x14ac:dyDescent="0.35">
      <c r="A30" s="6">
        <v>21</v>
      </c>
      <c r="B30" s="6">
        <v>0</v>
      </c>
      <c r="C30" s="6">
        <v>1</v>
      </c>
      <c r="D30" s="6">
        <v>0</v>
      </c>
      <c r="E30" s="6">
        <v>0</v>
      </c>
      <c r="F30" s="6">
        <v>2020</v>
      </c>
      <c r="G30" s="5">
        <v>15250.332</v>
      </c>
    </row>
    <row r="31" spans="1:7" x14ac:dyDescent="0.35">
      <c r="A31" s="6">
        <v>22</v>
      </c>
      <c r="B31" s="6">
        <v>1</v>
      </c>
      <c r="C31" s="6">
        <v>3</v>
      </c>
      <c r="D31" s="6">
        <v>0</v>
      </c>
      <c r="E31" s="6">
        <v>1</v>
      </c>
      <c r="F31" s="6">
        <v>2020</v>
      </c>
      <c r="G31" s="5">
        <v>6691.3370000000004</v>
      </c>
    </row>
    <row r="32" spans="1:7" x14ac:dyDescent="0.35">
      <c r="A32" s="6">
        <v>23</v>
      </c>
      <c r="B32" s="6">
        <v>1</v>
      </c>
      <c r="C32" s="6">
        <v>2</v>
      </c>
      <c r="D32" s="6">
        <v>1</v>
      </c>
      <c r="E32" s="6">
        <v>0</v>
      </c>
      <c r="F32" s="6">
        <v>2020</v>
      </c>
      <c r="G32" s="5">
        <v>34798.94</v>
      </c>
    </row>
    <row r="33" spans="1:7" x14ac:dyDescent="0.35">
      <c r="A33" s="6">
        <v>24</v>
      </c>
      <c r="B33" s="6">
        <v>1</v>
      </c>
      <c r="C33" s="6">
        <v>1</v>
      </c>
      <c r="D33" s="6">
        <v>0</v>
      </c>
      <c r="E33" s="6">
        <v>0</v>
      </c>
      <c r="F33" s="6">
        <v>2020</v>
      </c>
      <c r="G33" s="5">
        <v>7377.55</v>
      </c>
    </row>
    <row r="34" spans="1:7" x14ac:dyDescent="0.35">
      <c r="A34" s="6">
        <v>25</v>
      </c>
      <c r="B34" s="6">
        <v>0</v>
      </c>
      <c r="C34" s="6">
        <v>3</v>
      </c>
      <c r="D34" s="6">
        <v>0</v>
      </c>
      <c r="E34" s="6">
        <v>1</v>
      </c>
      <c r="F34" s="6">
        <v>2019</v>
      </c>
      <c r="G34" s="5">
        <v>8266.59</v>
      </c>
    </row>
    <row r="35" spans="1:7" x14ac:dyDescent="0.35">
      <c r="A35" s="6">
        <v>26</v>
      </c>
      <c r="B35" s="6">
        <v>0</v>
      </c>
      <c r="C35" s="6">
        <v>2</v>
      </c>
      <c r="D35" s="6">
        <v>1</v>
      </c>
      <c r="E35" s="6">
        <v>0</v>
      </c>
      <c r="F35" s="6">
        <v>2019</v>
      </c>
      <c r="G35" s="5">
        <v>51043.652999999998</v>
      </c>
    </row>
    <row r="36" spans="1:7" x14ac:dyDescent="0.35">
      <c r="A36" s="6">
        <v>27</v>
      </c>
      <c r="B36" s="6">
        <v>0</v>
      </c>
      <c r="C36" s="6">
        <v>1</v>
      </c>
      <c r="D36" s="6">
        <v>0</v>
      </c>
      <c r="E36" s="6">
        <v>0</v>
      </c>
      <c r="F36" s="6">
        <v>2019</v>
      </c>
      <c r="G36" s="5">
        <v>15175.546</v>
      </c>
    </row>
    <row r="37" spans="1:7" x14ac:dyDescent="0.35">
      <c r="A37" s="6">
        <v>28</v>
      </c>
      <c r="B37" s="6">
        <v>1</v>
      </c>
      <c r="C37" s="6">
        <v>3</v>
      </c>
      <c r="D37" s="6">
        <v>0</v>
      </c>
      <c r="E37" s="6">
        <v>1</v>
      </c>
      <c r="F37" s="6">
        <v>2019</v>
      </c>
      <c r="G37" s="5">
        <v>6684.9870000000001</v>
      </c>
    </row>
    <row r="38" spans="1:7" x14ac:dyDescent="0.35">
      <c r="A38" s="6">
        <v>29</v>
      </c>
      <c r="B38" s="6">
        <v>1</v>
      </c>
      <c r="C38" s="6">
        <v>2</v>
      </c>
      <c r="D38" s="6">
        <v>1</v>
      </c>
      <c r="E38" s="6">
        <v>0</v>
      </c>
      <c r="F38" s="6">
        <v>2019</v>
      </c>
      <c r="G38" s="5">
        <v>35303.462</v>
      </c>
    </row>
    <row r="39" spans="1:7" x14ac:dyDescent="0.35">
      <c r="A39" s="6">
        <v>30</v>
      </c>
      <c r="B39" s="6">
        <v>1</v>
      </c>
      <c r="C39" s="6">
        <v>1</v>
      </c>
      <c r="D39" s="6">
        <v>0</v>
      </c>
      <c r="E39" s="6">
        <v>0</v>
      </c>
      <c r="F39" s="6">
        <v>2019</v>
      </c>
      <c r="G39" s="5">
        <v>7257.8230000000003</v>
      </c>
    </row>
    <row r="40" spans="1:7" x14ac:dyDescent="0.35">
      <c r="A40" s="6">
        <v>31</v>
      </c>
      <c r="B40" s="6">
        <v>0</v>
      </c>
      <c r="C40" s="6">
        <v>3</v>
      </c>
      <c r="D40" s="6">
        <v>0</v>
      </c>
      <c r="E40" s="6">
        <v>1</v>
      </c>
      <c r="F40" s="6">
        <v>2017</v>
      </c>
      <c r="G40" s="5">
        <v>7210.2340000000004</v>
      </c>
    </row>
    <row r="41" spans="1:7" x14ac:dyDescent="0.35">
      <c r="A41" s="6">
        <v>32</v>
      </c>
      <c r="B41" s="6">
        <v>0</v>
      </c>
      <c r="C41" s="6">
        <v>2</v>
      </c>
      <c r="D41" s="6">
        <v>1</v>
      </c>
      <c r="E41" s="6">
        <v>0</v>
      </c>
      <c r="F41" s="6">
        <v>2017</v>
      </c>
      <c r="G41" s="5">
        <v>49277.485999999997</v>
      </c>
    </row>
    <row r="42" spans="1:7" x14ac:dyDescent="0.35">
      <c r="A42" s="6">
        <v>33</v>
      </c>
      <c r="B42" s="6">
        <v>0</v>
      </c>
      <c r="C42" s="6">
        <v>1</v>
      </c>
      <c r="D42" s="6">
        <v>0</v>
      </c>
      <c r="E42" s="6">
        <v>0</v>
      </c>
      <c r="F42" s="6">
        <v>2017</v>
      </c>
      <c r="G42" s="5">
        <v>13909.404</v>
      </c>
    </row>
    <row r="43" spans="1:7" x14ac:dyDescent="0.35">
      <c r="A43" s="6">
        <v>34</v>
      </c>
      <c r="B43" s="6">
        <v>1</v>
      </c>
      <c r="C43" s="6">
        <v>3</v>
      </c>
      <c r="D43" s="6">
        <v>0</v>
      </c>
      <c r="E43" s="6">
        <v>1</v>
      </c>
      <c r="F43" s="6">
        <v>2017</v>
      </c>
      <c r="G43" s="5">
        <v>5970.0360000000001</v>
      </c>
    </row>
    <row r="44" spans="1:7" x14ac:dyDescent="0.35">
      <c r="A44" s="6">
        <v>35</v>
      </c>
      <c r="B44" s="6">
        <v>1</v>
      </c>
      <c r="C44" s="6">
        <v>2</v>
      </c>
      <c r="D44" s="6">
        <v>1</v>
      </c>
      <c r="E44" s="6">
        <v>0</v>
      </c>
      <c r="F44" s="6">
        <v>2017</v>
      </c>
      <c r="G44" s="5">
        <v>33099.213000000003</v>
      </c>
    </row>
    <row r="45" spans="1:7" x14ac:dyDescent="0.35">
      <c r="A45" s="6">
        <v>36</v>
      </c>
      <c r="B45" s="6">
        <v>1</v>
      </c>
      <c r="C45" s="6">
        <v>1</v>
      </c>
      <c r="D45" s="6">
        <v>0</v>
      </c>
      <c r="E45" s="6">
        <v>0</v>
      </c>
      <c r="F45" s="6">
        <v>2017</v>
      </c>
      <c r="G45" s="5">
        <v>6624.2659999999996</v>
      </c>
    </row>
    <row r="46" spans="1:7" x14ac:dyDescent="0.35">
      <c r="A46" s="6">
        <v>37</v>
      </c>
      <c r="B46" s="6">
        <v>0</v>
      </c>
      <c r="C46" s="6">
        <v>3</v>
      </c>
      <c r="D46" s="6">
        <v>0</v>
      </c>
      <c r="E46" s="6">
        <v>1</v>
      </c>
      <c r="F46" s="6">
        <v>2016</v>
      </c>
      <c r="G46" s="5">
        <v>7496.27</v>
      </c>
    </row>
    <row r="47" spans="1:7" x14ac:dyDescent="0.35">
      <c r="A47" s="6">
        <v>38</v>
      </c>
      <c r="B47" s="6">
        <v>0</v>
      </c>
      <c r="C47" s="6">
        <v>2</v>
      </c>
      <c r="D47" s="6">
        <v>1</v>
      </c>
      <c r="E47" s="6">
        <v>0</v>
      </c>
      <c r="F47" s="6">
        <v>2016</v>
      </c>
      <c r="G47" s="5">
        <v>47713.982000000004</v>
      </c>
    </row>
    <row r="48" spans="1:7" x14ac:dyDescent="0.35">
      <c r="A48" s="6">
        <v>39</v>
      </c>
      <c r="B48" s="6">
        <v>0</v>
      </c>
      <c r="C48" s="6">
        <v>1</v>
      </c>
      <c r="D48" s="6">
        <v>0</v>
      </c>
      <c r="E48" s="6">
        <v>0</v>
      </c>
      <c r="F48" s="6">
        <v>2016</v>
      </c>
      <c r="G48" s="5">
        <v>13301.785</v>
      </c>
    </row>
    <row r="49" spans="1:7" x14ac:dyDescent="0.35">
      <c r="A49" s="6">
        <v>40</v>
      </c>
      <c r="B49" s="6">
        <v>1</v>
      </c>
      <c r="C49" s="6">
        <v>3</v>
      </c>
      <c r="D49" s="6">
        <v>0</v>
      </c>
      <c r="E49" s="6">
        <v>1</v>
      </c>
      <c r="F49" s="6">
        <v>2016</v>
      </c>
      <c r="G49" s="5">
        <v>7055.7160000000003</v>
      </c>
    </row>
    <row r="50" spans="1:7" x14ac:dyDescent="0.35">
      <c r="A50" s="6">
        <v>41</v>
      </c>
      <c r="B50" s="6">
        <v>1</v>
      </c>
      <c r="C50" s="6">
        <v>2</v>
      </c>
      <c r="D50" s="6">
        <v>1</v>
      </c>
      <c r="E50" s="6">
        <v>0</v>
      </c>
      <c r="F50" s="6">
        <v>2016</v>
      </c>
      <c r="G50" s="5">
        <v>30207.173999999999</v>
      </c>
    </row>
    <row r="51" spans="1:7" x14ac:dyDescent="0.35">
      <c r="A51" s="6">
        <v>42</v>
      </c>
      <c r="B51" s="6">
        <v>1</v>
      </c>
      <c r="C51" s="6">
        <v>1</v>
      </c>
      <c r="D51" s="6">
        <v>0</v>
      </c>
      <c r="E51" s="6">
        <v>0</v>
      </c>
      <c r="F51" s="6">
        <v>2016</v>
      </c>
      <c r="G51" s="5">
        <v>6784.6360000000004</v>
      </c>
    </row>
    <row r="52" spans="1:7" x14ac:dyDescent="0.35">
      <c r="A52" s="6">
        <v>43</v>
      </c>
      <c r="B52" s="6">
        <v>0</v>
      </c>
      <c r="C52" s="6">
        <v>3</v>
      </c>
      <c r="D52" s="6">
        <v>0</v>
      </c>
      <c r="E52" s="6">
        <v>1</v>
      </c>
      <c r="F52" s="6">
        <v>2015</v>
      </c>
      <c r="G52" s="5">
        <v>6260.3050000000003</v>
      </c>
    </row>
    <row r="53" spans="1:7" x14ac:dyDescent="0.35">
      <c r="A53" s="6">
        <v>44</v>
      </c>
      <c r="B53" s="6">
        <v>0</v>
      </c>
      <c r="C53" s="6">
        <v>2</v>
      </c>
      <c r="D53" s="6">
        <v>1</v>
      </c>
      <c r="E53" s="6">
        <v>0</v>
      </c>
      <c r="F53" s="6">
        <v>2015</v>
      </c>
      <c r="G53" s="5">
        <v>48491.731</v>
      </c>
    </row>
    <row r="54" spans="1:7" x14ac:dyDescent="0.35">
      <c r="A54" s="6">
        <v>45</v>
      </c>
      <c r="B54" s="6">
        <v>0</v>
      </c>
      <c r="C54" s="6">
        <v>1</v>
      </c>
      <c r="D54" s="6">
        <v>0</v>
      </c>
      <c r="E54" s="6">
        <v>0</v>
      </c>
      <c r="F54" s="6">
        <v>2015</v>
      </c>
      <c r="G54" s="5">
        <v>13992.143</v>
      </c>
    </row>
    <row r="55" spans="1:7" x14ac:dyDescent="0.35">
      <c r="A55" s="6">
        <v>46</v>
      </c>
      <c r="B55" s="6">
        <v>1</v>
      </c>
      <c r="C55" s="6">
        <v>3</v>
      </c>
      <c r="D55" s="6">
        <v>0</v>
      </c>
      <c r="E55" s="6">
        <v>1</v>
      </c>
      <c r="F55" s="6">
        <v>2015</v>
      </c>
      <c r="G55" s="5">
        <v>5137.0940000000001</v>
      </c>
    </row>
    <row r="56" spans="1:7" x14ac:dyDescent="0.35">
      <c r="A56" s="6">
        <v>47</v>
      </c>
      <c r="B56" s="6">
        <v>1</v>
      </c>
      <c r="C56" s="6">
        <v>2</v>
      </c>
      <c r="D56" s="6">
        <v>1</v>
      </c>
      <c r="E56" s="6">
        <v>0</v>
      </c>
      <c r="F56" s="6">
        <v>2015</v>
      </c>
      <c r="G56" s="5">
        <v>31624.342000000001</v>
      </c>
    </row>
    <row r="57" spans="1:7" x14ac:dyDescent="0.35">
      <c r="A57" s="6">
        <v>48</v>
      </c>
      <c r="B57" s="6">
        <v>1</v>
      </c>
      <c r="C57" s="6">
        <v>1</v>
      </c>
      <c r="D57" s="6">
        <v>0</v>
      </c>
      <c r="E57" s="6">
        <v>0</v>
      </c>
      <c r="F57" s="6">
        <v>2015</v>
      </c>
      <c r="G57" s="5">
        <v>6213.326</v>
      </c>
    </row>
    <row r="58" spans="1:7" x14ac:dyDescent="0.35">
      <c r="A58" s="6">
        <v>49</v>
      </c>
      <c r="B58" s="6">
        <v>0</v>
      </c>
      <c r="C58" s="6">
        <v>3</v>
      </c>
      <c r="D58" s="6">
        <v>0</v>
      </c>
      <c r="E58" s="6">
        <v>1</v>
      </c>
      <c r="F58" s="6">
        <v>2014</v>
      </c>
      <c r="G58" s="5">
        <v>5856.9459999999999</v>
      </c>
    </row>
    <row r="59" spans="1:7" x14ac:dyDescent="0.35">
      <c r="A59" s="6">
        <v>50</v>
      </c>
      <c r="B59" s="6">
        <v>0</v>
      </c>
      <c r="C59" s="6">
        <v>2</v>
      </c>
      <c r="D59" s="6">
        <v>1</v>
      </c>
      <c r="E59" s="6">
        <v>0</v>
      </c>
      <c r="F59" s="6">
        <v>2014</v>
      </c>
      <c r="G59" s="5">
        <v>49465.315000000002</v>
      </c>
    </row>
    <row r="60" spans="1:7" x14ac:dyDescent="0.35">
      <c r="A60" s="6">
        <v>51</v>
      </c>
      <c r="B60" s="6">
        <v>0</v>
      </c>
      <c r="C60" s="6">
        <v>1</v>
      </c>
      <c r="D60" s="6">
        <v>0</v>
      </c>
      <c r="E60" s="6">
        <v>0</v>
      </c>
      <c r="F60" s="6">
        <v>2014</v>
      </c>
      <c r="G60" s="5">
        <v>12882.967000000001</v>
      </c>
    </row>
    <row r="61" spans="1:7" x14ac:dyDescent="0.35">
      <c r="A61" s="6">
        <v>52</v>
      </c>
      <c r="B61" s="6">
        <v>1</v>
      </c>
      <c r="C61" s="6">
        <v>3</v>
      </c>
      <c r="D61" s="6">
        <v>0</v>
      </c>
      <c r="E61" s="6">
        <v>1</v>
      </c>
      <c r="F61" s="6">
        <v>2014</v>
      </c>
      <c r="G61" s="5">
        <v>4854.3850000000002</v>
      </c>
    </row>
    <row r="62" spans="1:7" x14ac:dyDescent="0.35">
      <c r="A62" s="6">
        <v>53</v>
      </c>
      <c r="B62" s="6">
        <v>1</v>
      </c>
      <c r="C62" s="6">
        <v>2</v>
      </c>
      <c r="D62" s="6">
        <v>1</v>
      </c>
      <c r="E62" s="6">
        <v>0</v>
      </c>
      <c r="F62" s="6">
        <v>2014</v>
      </c>
      <c r="G62" s="5">
        <v>31999.760999999999</v>
      </c>
    </row>
    <row r="63" spans="1:7" x14ac:dyDescent="0.35">
      <c r="A63" s="6">
        <v>54</v>
      </c>
      <c r="B63" s="6">
        <v>1</v>
      </c>
      <c r="C63" s="6">
        <v>1</v>
      </c>
      <c r="D63" s="6">
        <v>0</v>
      </c>
      <c r="E63" s="6">
        <v>0</v>
      </c>
      <c r="F63" s="6">
        <v>2014</v>
      </c>
      <c r="G63" s="5">
        <v>5609.5839999999998</v>
      </c>
    </row>
    <row r="64" spans="1:7" x14ac:dyDescent="0.35">
      <c r="A64" s="6">
        <v>55</v>
      </c>
      <c r="B64" s="6">
        <v>0</v>
      </c>
      <c r="C64" s="6">
        <v>3</v>
      </c>
      <c r="D64" s="6">
        <v>0</v>
      </c>
      <c r="E64" s="6">
        <v>1</v>
      </c>
      <c r="F64" s="6">
        <v>2013</v>
      </c>
      <c r="G64" s="5">
        <v>5735.3890000000001</v>
      </c>
    </row>
    <row r="65" spans="1:7" x14ac:dyDescent="0.35">
      <c r="A65" s="6">
        <v>56</v>
      </c>
      <c r="B65" s="6">
        <v>0</v>
      </c>
      <c r="C65" s="6">
        <v>2</v>
      </c>
      <c r="D65" s="6">
        <v>1</v>
      </c>
      <c r="E65" s="6">
        <v>0</v>
      </c>
      <c r="F65" s="6">
        <v>2013</v>
      </c>
      <c r="G65" s="5">
        <v>49225.752</v>
      </c>
    </row>
    <row r="66" spans="1:7" x14ac:dyDescent="0.35">
      <c r="A66" s="6">
        <v>57</v>
      </c>
      <c r="B66" s="6">
        <v>0</v>
      </c>
      <c r="C66" s="6">
        <v>1</v>
      </c>
      <c r="D66" s="6">
        <v>0</v>
      </c>
      <c r="E66" s="6">
        <v>0</v>
      </c>
      <c r="F66" s="6">
        <v>2013</v>
      </c>
      <c r="G66" s="5">
        <v>12189.418</v>
      </c>
    </row>
    <row r="67" spans="1:7" x14ac:dyDescent="0.35">
      <c r="A67" s="6">
        <v>58</v>
      </c>
      <c r="B67" s="6">
        <v>1</v>
      </c>
      <c r="C67" s="6">
        <v>3</v>
      </c>
      <c r="D67" s="6">
        <v>0</v>
      </c>
      <c r="E67" s="6">
        <v>1</v>
      </c>
      <c r="F67" s="6">
        <v>2013</v>
      </c>
      <c r="G67" s="5">
        <v>4577.366</v>
      </c>
    </row>
    <row r="68" spans="1:7" x14ac:dyDescent="0.35">
      <c r="A68" s="6">
        <v>59</v>
      </c>
      <c r="B68" s="6">
        <v>1</v>
      </c>
      <c r="C68" s="6">
        <v>2</v>
      </c>
      <c r="D68" s="6">
        <v>1</v>
      </c>
      <c r="E68" s="6">
        <v>0</v>
      </c>
      <c r="F68" s="6">
        <v>2013</v>
      </c>
      <c r="G68" s="5">
        <v>31708.381000000001</v>
      </c>
    </row>
    <row r="69" spans="1:7" x14ac:dyDescent="0.35">
      <c r="A69" s="6">
        <v>60</v>
      </c>
      <c r="B69" s="6">
        <v>1</v>
      </c>
      <c r="C69" s="6">
        <v>1</v>
      </c>
      <c r="D69" s="6">
        <v>0</v>
      </c>
      <c r="E69" s="6">
        <v>0</v>
      </c>
      <c r="F69" s="6">
        <v>2013</v>
      </c>
      <c r="G69" s="5">
        <v>5431.6109999999999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835D-F66F-493E-A09D-6C451111DB05}">
  <dimension ref="A1:O69"/>
  <sheetViews>
    <sheetView topLeftCell="C1" zoomScale="92" workbookViewId="0">
      <selection activeCell="L14" sqref="L14"/>
    </sheetView>
  </sheetViews>
  <sheetFormatPr defaultRowHeight="14.5" x14ac:dyDescent="0.35"/>
  <cols>
    <col min="1" max="1" width="11.08984375" customWidth="1"/>
    <col min="2" max="2" width="12.1796875" customWidth="1"/>
    <col min="3" max="3" width="26.6328125" customWidth="1"/>
    <col min="4" max="4" width="17.36328125" bestFit="1" customWidth="1"/>
    <col min="5" max="5" width="15.90625" customWidth="1"/>
    <col min="6" max="6" width="9.453125" customWidth="1"/>
    <col min="7" max="7" width="11.6328125" customWidth="1"/>
    <col min="9" max="9" width="22.36328125" customWidth="1"/>
    <col min="10" max="10" width="13.08984375" customWidth="1"/>
    <col min="11" max="11" width="18" customWidth="1"/>
    <col min="12" max="12" width="12.453125" bestFit="1" customWidth="1"/>
    <col min="14" max="14" width="24.6328125" bestFit="1" customWidth="1"/>
    <col min="15" max="15" width="12.453125" bestFit="1" customWidth="1"/>
  </cols>
  <sheetData>
    <row r="1" spans="1:15" x14ac:dyDescent="0.35">
      <c r="A1" s="2" t="s">
        <v>14</v>
      </c>
    </row>
    <row r="2" spans="1:15" x14ac:dyDescent="0.35">
      <c r="H2" s="2" t="s">
        <v>49</v>
      </c>
      <c r="K2" s="2" t="s">
        <v>50</v>
      </c>
    </row>
    <row r="3" spans="1:15" x14ac:dyDescent="0.35">
      <c r="A3" s="2" t="s">
        <v>37</v>
      </c>
      <c r="B3" t="s">
        <v>12</v>
      </c>
      <c r="H3" t="s">
        <v>46</v>
      </c>
      <c r="K3" t="s">
        <v>51</v>
      </c>
    </row>
    <row r="4" spans="1:15" x14ac:dyDescent="0.35">
      <c r="A4" s="2" t="s">
        <v>38</v>
      </c>
      <c r="B4" t="s">
        <v>39</v>
      </c>
      <c r="H4" t="s">
        <v>47</v>
      </c>
      <c r="K4" t="s">
        <v>52</v>
      </c>
    </row>
    <row r="5" spans="1:15" x14ac:dyDescent="0.35">
      <c r="B5" s="3" t="s">
        <v>40</v>
      </c>
      <c r="H5" t="s">
        <v>48</v>
      </c>
    </row>
    <row r="6" spans="1:15" x14ac:dyDescent="0.35">
      <c r="B6" s="3"/>
    </row>
    <row r="7" spans="1:15" x14ac:dyDescent="0.35">
      <c r="A7" s="2" t="s">
        <v>42</v>
      </c>
      <c r="B7" s="4" t="s">
        <v>43</v>
      </c>
    </row>
    <row r="8" spans="1:15" ht="15" thickBot="1" x14ac:dyDescent="0.4">
      <c r="B8" s="2"/>
    </row>
    <row r="9" spans="1:15" x14ac:dyDescent="0.35">
      <c r="A9" s="7" t="s">
        <v>55</v>
      </c>
      <c r="B9" s="11" t="s">
        <v>56</v>
      </c>
      <c r="C9" s="7" t="s">
        <v>85</v>
      </c>
      <c r="D9" s="12" t="s">
        <v>86</v>
      </c>
      <c r="E9" s="12" t="s">
        <v>87</v>
      </c>
      <c r="F9" s="11" t="s">
        <v>59</v>
      </c>
      <c r="G9" s="13" t="s">
        <v>58</v>
      </c>
      <c r="H9" s="2" t="s">
        <v>92</v>
      </c>
      <c r="J9" s="2" t="s">
        <v>93</v>
      </c>
      <c r="L9">
        <f>DEVSQ(G10:G69)</f>
        <v>16564912588.760313</v>
      </c>
      <c r="N9" s="9"/>
      <c r="O9" s="9" t="s">
        <v>76</v>
      </c>
    </row>
    <row r="10" spans="1:15" x14ac:dyDescent="0.35">
      <c r="A10" s="6">
        <v>1</v>
      </c>
      <c r="B10" s="6">
        <v>0</v>
      </c>
      <c r="C10" s="6">
        <v>3</v>
      </c>
      <c r="D10" s="6">
        <v>0</v>
      </c>
      <c r="E10" s="6">
        <v>1</v>
      </c>
      <c r="F10" s="6">
        <v>2023</v>
      </c>
      <c r="G10" s="5">
        <v>7911.1139999999996</v>
      </c>
      <c r="H10">
        <f>(($O$10) + ($O$11 * B10) + ($O$12 * C10) + ($O$13 * D10) + ($O$15 * F10))</f>
        <v>12572.470392424264</v>
      </c>
      <c r="J10" s="2" t="s">
        <v>94</v>
      </c>
      <c r="L10">
        <f>SUMXMY2(G10:G69, H10:H69)</f>
        <v>655253924.19138145</v>
      </c>
      <c r="N10" t="s">
        <v>70</v>
      </c>
      <c r="O10">
        <v>-658990.84850908956</v>
      </c>
    </row>
    <row r="11" spans="1:15" x14ac:dyDescent="0.35">
      <c r="A11" s="6">
        <v>2</v>
      </c>
      <c r="B11" s="6">
        <v>0</v>
      </c>
      <c r="C11" s="6">
        <v>2</v>
      </c>
      <c r="D11" s="6">
        <v>1</v>
      </c>
      <c r="E11" s="6">
        <v>0</v>
      </c>
      <c r="F11" s="6">
        <v>2023</v>
      </c>
      <c r="G11" s="5">
        <v>53195.45</v>
      </c>
      <c r="H11">
        <f>(($O$10) + ($O$11 * B11) + ($O$12 * C11) + ($O$13 * D11) + ($O$15 * F11))</f>
        <v>47693.316642424208</v>
      </c>
      <c r="J11" s="2" t="s">
        <v>63</v>
      </c>
      <c r="L11">
        <f>1 - ($L$10 / $L$9)</f>
        <v>0.96044326097826882</v>
      </c>
      <c r="N11" t="s">
        <v>56</v>
      </c>
      <c r="O11">
        <v>-8495.1520333333283</v>
      </c>
    </row>
    <row r="12" spans="1:15" x14ac:dyDescent="0.35">
      <c r="A12" s="6">
        <v>3</v>
      </c>
      <c r="B12" s="6">
        <v>0</v>
      </c>
      <c r="C12" s="6">
        <v>1</v>
      </c>
      <c r="D12" s="6">
        <v>0</v>
      </c>
      <c r="E12" s="6">
        <v>0</v>
      </c>
      <c r="F12" s="6">
        <v>2023</v>
      </c>
      <c r="G12" s="5">
        <v>17413.935000000001</v>
      </c>
      <c r="H12">
        <f>(($O$10) + ($O$11 * B12) + ($O$12 * C12) + ($O$13 * D12) + ($O$15 * F12))</f>
        <v>16665.326492424239</v>
      </c>
      <c r="J12" s="2" t="s">
        <v>62</v>
      </c>
      <c r="L12">
        <f>SQRT($L$11)</f>
        <v>0.98002207167913769</v>
      </c>
      <c r="N12" t="s">
        <v>57</v>
      </c>
      <c r="O12">
        <v>-2046.4280499999977</v>
      </c>
    </row>
    <row r="13" spans="1:15" x14ac:dyDescent="0.35">
      <c r="A13" s="6">
        <v>4</v>
      </c>
      <c r="B13" s="6">
        <v>1</v>
      </c>
      <c r="C13" s="6">
        <v>3</v>
      </c>
      <c r="D13" s="6">
        <v>0</v>
      </c>
      <c r="E13" s="6">
        <v>1</v>
      </c>
      <c r="F13" s="6">
        <v>2023</v>
      </c>
      <c r="G13" s="5">
        <v>7212.9009999999998</v>
      </c>
      <c r="H13">
        <f>(($O$10) + ($O$11 * B13) + ($O$12 * C13) + ($O$13 * D13) + ($O$15 * F13))</f>
        <v>4077.3183590909466</v>
      </c>
      <c r="N13" t="s">
        <v>83</v>
      </c>
      <c r="O13">
        <v>33074.4182</v>
      </c>
    </row>
    <row r="14" spans="1:15" x14ac:dyDescent="0.35">
      <c r="A14" s="6">
        <v>5</v>
      </c>
      <c r="B14" s="6">
        <v>1</v>
      </c>
      <c r="C14" s="6">
        <v>2</v>
      </c>
      <c r="D14" s="6">
        <v>1</v>
      </c>
      <c r="E14" s="6">
        <v>0</v>
      </c>
      <c r="F14" s="6">
        <v>2023</v>
      </c>
      <c r="G14" s="5">
        <v>35508.483999999997</v>
      </c>
      <c r="H14">
        <f>(($O$10) + ($O$11 * B14) + ($O$12 * C14) + ($O$13 * D14) + ($O$15 * F14))</f>
        <v>39198.164609090891</v>
      </c>
      <c r="N14" t="s">
        <v>84</v>
      </c>
      <c r="O14">
        <v>0</v>
      </c>
    </row>
    <row r="15" spans="1:15" ht="15" thickBot="1" x14ac:dyDescent="0.4">
      <c r="A15" s="6">
        <v>6</v>
      </c>
      <c r="B15" s="6">
        <v>1</v>
      </c>
      <c r="C15" s="6">
        <v>1</v>
      </c>
      <c r="D15" s="6">
        <v>0</v>
      </c>
      <c r="E15" s="6">
        <v>0</v>
      </c>
      <c r="F15" s="6">
        <v>2023</v>
      </c>
      <c r="G15" s="5">
        <v>8143.9160000000002</v>
      </c>
      <c r="H15">
        <f>(($O$10) + ($O$11 * B15) + ($O$12 * C15) + ($O$13 * D15) + ($O$15 * F15))</f>
        <v>8170.174459090922</v>
      </c>
      <c r="N15" s="8" t="s">
        <v>59</v>
      </c>
      <c r="O15" s="8">
        <v>334.99881515151446</v>
      </c>
    </row>
    <row r="16" spans="1:15" x14ac:dyDescent="0.35">
      <c r="A16" s="6">
        <v>7</v>
      </c>
      <c r="B16" s="6">
        <v>0</v>
      </c>
      <c r="C16" s="6">
        <v>3</v>
      </c>
      <c r="D16" s="6">
        <v>0</v>
      </c>
      <c r="E16" s="6">
        <v>1</v>
      </c>
      <c r="F16" s="6">
        <v>2022</v>
      </c>
      <c r="G16" s="5">
        <v>7592.6880000000001</v>
      </c>
      <c r="H16">
        <f>(($O$10) + ($O$11 * B16) + ($O$12 * C16) + ($O$13 * D16) + ($O$15 * F16))</f>
        <v>12237.47157727275</v>
      </c>
    </row>
    <row r="17" spans="1:8" x14ac:dyDescent="0.35">
      <c r="A17" s="6">
        <v>8</v>
      </c>
      <c r="B17" s="6">
        <v>0</v>
      </c>
      <c r="C17" s="6">
        <v>2</v>
      </c>
      <c r="D17" s="6">
        <v>1</v>
      </c>
      <c r="E17" s="6">
        <v>0</v>
      </c>
      <c r="F17" s="6">
        <v>2022</v>
      </c>
      <c r="G17" s="5">
        <v>52196.947999999997</v>
      </c>
      <c r="H17">
        <f>(($O$10) + ($O$11 * B17) + ($O$12 * C17) + ($O$13 * D17) + ($O$15 * F17))</f>
        <v>47358.317827272695</v>
      </c>
    </row>
    <row r="18" spans="1:8" x14ac:dyDescent="0.35">
      <c r="A18" s="6">
        <v>9</v>
      </c>
      <c r="B18" s="6">
        <v>0</v>
      </c>
      <c r="C18" s="6">
        <v>1</v>
      </c>
      <c r="D18" s="6">
        <v>0</v>
      </c>
      <c r="E18" s="6">
        <v>0</v>
      </c>
      <c r="F18" s="6">
        <v>2022</v>
      </c>
      <c r="G18" s="5">
        <v>16392.506000000001</v>
      </c>
      <c r="H18">
        <f>(($O$10) + ($O$11 * B18) + ($O$12 * C18) + ($O$13 * D18) + ($O$15 * F18))</f>
        <v>16330.327677272726</v>
      </c>
    </row>
    <row r="19" spans="1:8" x14ac:dyDescent="0.35">
      <c r="A19" s="6">
        <v>10</v>
      </c>
      <c r="B19" s="6">
        <v>1</v>
      </c>
      <c r="C19" s="6">
        <v>3</v>
      </c>
      <c r="D19" s="6">
        <v>0</v>
      </c>
      <c r="E19" s="6">
        <v>1</v>
      </c>
      <c r="F19" s="6">
        <v>2022</v>
      </c>
      <c r="G19" s="5">
        <v>6778.7820000000002</v>
      </c>
      <c r="H19">
        <f>(($O$10) + ($O$11 * B19) + ($O$12 * C19) + ($O$13 * D19) + ($O$15 * F19))</f>
        <v>3742.3195439394331</v>
      </c>
    </row>
    <row r="20" spans="1:8" x14ac:dyDescent="0.35">
      <c r="A20" s="6">
        <v>11</v>
      </c>
      <c r="B20" s="6">
        <v>1</v>
      </c>
      <c r="C20" s="6">
        <v>2</v>
      </c>
      <c r="D20" s="6">
        <v>1</v>
      </c>
      <c r="E20" s="6">
        <v>0</v>
      </c>
      <c r="F20" s="6">
        <v>2022</v>
      </c>
      <c r="G20" s="5">
        <v>35146.932999999997</v>
      </c>
      <c r="H20">
        <f>(($O$10) + ($O$11 * B20) + ($O$12 * C20) + ($O$13 * D20) + ($O$15 * F20))</f>
        <v>38863.165793939377</v>
      </c>
    </row>
    <row r="21" spans="1:8" x14ac:dyDescent="0.35">
      <c r="A21" s="6">
        <v>12</v>
      </c>
      <c r="B21" s="6">
        <v>1</v>
      </c>
      <c r="C21" s="6">
        <v>1</v>
      </c>
      <c r="D21" s="6">
        <v>0</v>
      </c>
      <c r="E21" s="6">
        <v>0</v>
      </c>
      <c r="F21" s="6">
        <v>2022</v>
      </c>
      <c r="G21" s="5">
        <v>7596.62</v>
      </c>
      <c r="H21">
        <f>(($O$10) + ($O$11 * B21) + ($O$12 * C21) + ($O$13 * D21) + ($O$15 * F21))</f>
        <v>7835.1756439394085</v>
      </c>
    </row>
    <row r="22" spans="1:8" x14ac:dyDescent="0.35">
      <c r="A22" s="6">
        <v>13</v>
      </c>
      <c r="B22" s="6">
        <v>0</v>
      </c>
      <c r="C22" s="6">
        <v>3</v>
      </c>
      <c r="D22" s="6">
        <v>0</v>
      </c>
      <c r="E22" s="6">
        <v>1</v>
      </c>
      <c r="F22" s="6">
        <v>2021</v>
      </c>
      <c r="G22" s="5">
        <v>7300.0709999999999</v>
      </c>
      <c r="H22">
        <f>(($O$10) + ($O$11 * B22) + ($O$12 * C22) + ($O$13 * D22) + ($O$15 * F22))</f>
        <v>11902.472762121237</v>
      </c>
    </row>
    <row r="23" spans="1:8" x14ac:dyDescent="0.35">
      <c r="A23" s="6">
        <v>14</v>
      </c>
      <c r="B23" s="6">
        <v>0</v>
      </c>
      <c r="C23" s="6">
        <v>2</v>
      </c>
      <c r="D23" s="6">
        <v>1</v>
      </c>
      <c r="E23" s="6">
        <v>0</v>
      </c>
      <c r="F23" s="6">
        <v>2021</v>
      </c>
      <c r="G23" s="5">
        <v>49974.008999999998</v>
      </c>
      <c r="H23">
        <f>(($O$10) + ($O$11 * B23) + ($O$12 * C23) + ($O$13 * D23) + ($O$15 * F23))</f>
        <v>47023.319012121181</v>
      </c>
    </row>
    <row r="24" spans="1:8" x14ac:dyDescent="0.35">
      <c r="A24" s="6">
        <v>15</v>
      </c>
      <c r="B24" s="6">
        <v>0</v>
      </c>
      <c r="C24" s="6">
        <v>1</v>
      </c>
      <c r="D24" s="6">
        <v>0</v>
      </c>
      <c r="E24" s="6">
        <v>0</v>
      </c>
      <c r="F24" s="6">
        <v>2021</v>
      </c>
      <c r="G24" s="5">
        <v>15840.63</v>
      </c>
      <c r="H24">
        <f>(($O$10) + ($O$11 * B24) + ($O$12 * C24) + ($O$13 * D24) + ($O$15 * F24))</f>
        <v>15995.328862121212</v>
      </c>
    </row>
    <row r="25" spans="1:8" x14ac:dyDescent="0.35">
      <c r="A25" s="6">
        <v>16</v>
      </c>
      <c r="B25" s="6">
        <v>1</v>
      </c>
      <c r="C25" s="6">
        <v>3</v>
      </c>
      <c r="D25" s="6">
        <v>0</v>
      </c>
      <c r="E25" s="6">
        <v>1</v>
      </c>
      <c r="F25" s="6">
        <v>2021</v>
      </c>
      <c r="G25" s="5">
        <v>6652.2889999999998</v>
      </c>
      <c r="H25">
        <f>(($O$10) + ($O$11 * B25) + ($O$12 * C25) + ($O$13 * D25) + ($O$15 * F25))</f>
        <v>3407.3207287879195</v>
      </c>
    </row>
    <row r="26" spans="1:8" x14ac:dyDescent="0.35">
      <c r="A26" s="6">
        <v>17</v>
      </c>
      <c r="B26" s="6">
        <v>1</v>
      </c>
      <c r="C26" s="6">
        <v>2</v>
      </c>
      <c r="D26" s="6">
        <v>1</v>
      </c>
      <c r="E26" s="6">
        <v>0</v>
      </c>
      <c r="F26" s="6">
        <v>2021</v>
      </c>
      <c r="G26" s="5">
        <v>34688.707000000002</v>
      </c>
      <c r="H26">
        <f>(($O$10) + ($O$11 * B26) + ($O$12 * C26) + ($O$13 * D26) + ($O$15 * F26))</f>
        <v>38528.166978787864</v>
      </c>
    </row>
    <row r="27" spans="1:8" x14ac:dyDescent="0.35">
      <c r="A27" s="6">
        <v>18</v>
      </c>
      <c r="B27" s="6">
        <v>1</v>
      </c>
      <c r="C27" s="6">
        <v>1</v>
      </c>
      <c r="D27" s="6">
        <v>0</v>
      </c>
      <c r="E27" s="6">
        <v>0</v>
      </c>
      <c r="F27" s="6">
        <v>2021</v>
      </c>
      <c r="G27" s="5">
        <v>7467.13</v>
      </c>
      <c r="H27">
        <f>(($O$10) + ($O$11 * B27) + ($O$12 * C27) + ($O$13 * D27) + ($O$15 * F27))</f>
        <v>7500.1768287878949</v>
      </c>
    </row>
    <row r="28" spans="1:8" x14ac:dyDescent="0.35">
      <c r="A28" s="6">
        <v>19</v>
      </c>
      <c r="B28" s="6">
        <v>0</v>
      </c>
      <c r="C28" s="6">
        <v>3</v>
      </c>
      <c r="D28" s="6">
        <v>0</v>
      </c>
      <c r="E28" s="6">
        <v>1</v>
      </c>
      <c r="F28" s="6">
        <v>2020</v>
      </c>
      <c r="G28" s="5">
        <v>7753.5060000000003</v>
      </c>
      <c r="H28">
        <f>(($O$10) + ($O$11 * B28) + ($O$12 * C28) + ($O$13 * D28) + ($O$15 * F28))</f>
        <v>11567.473946969723</v>
      </c>
    </row>
    <row r="29" spans="1:8" x14ac:dyDescent="0.35">
      <c r="A29" s="6">
        <v>20</v>
      </c>
      <c r="B29" s="6">
        <v>0</v>
      </c>
      <c r="C29" s="6">
        <v>2</v>
      </c>
      <c r="D29" s="6">
        <v>1</v>
      </c>
      <c r="E29" s="6">
        <v>0</v>
      </c>
      <c r="F29" s="6">
        <v>2020</v>
      </c>
      <c r="G29" s="5">
        <v>50745.207999999999</v>
      </c>
      <c r="H29">
        <f>(($O$10) + ($O$11 * B29) + ($O$12 * C29) + ($O$13 * D29) + ($O$15 * F29))</f>
        <v>46688.320196969667</v>
      </c>
    </row>
    <row r="30" spans="1:8" x14ac:dyDescent="0.35">
      <c r="A30" s="6">
        <v>21</v>
      </c>
      <c r="B30" s="6">
        <v>0</v>
      </c>
      <c r="C30" s="6">
        <v>1</v>
      </c>
      <c r="D30" s="6">
        <v>0</v>
      </c>
      <c r="E30" s="6">
        <v>0</v>
      </c>
      <c r="F30" s="6">
        <v>2020</v>
      </c>
      <c r="G30" s="5">
        <v>15250.332</v>
      </c>
      <c r="H30">
        <f>(($O$10) + ($O$11 * B30) + ($O$12 * C30) + ($O$13 * D30) + ($O$15 * F30))</f>
        <v>15660.330046969699</v>
      </c>
    </row>
    <row r="31" spans="1:8" x14ac:dyDescent="0.35">
      <c r="A31" s="6">
        <v>22</v>
      </c>
      <c r="B31" s="6">
        <v>1</v>
      </c>
      <c r="C31" s="6">
        <v>3</v>
      </c>
      <c r="D31" s="6">
        <v>0</v>
      </c>
      <c r="E31" s="6">
        <v>1</v>
      </c>
      <c r="F31" s="6">
        <v>2020</v>
      </c>
      <c r="G31" s="5">
        <v>6691.3370000000004</v>
      </c>
      <c r="H31">
        <f>(($O$10) + ($O$11 * B31) + ($O$12 * C31) + ($O$13 * D31) + ($O$15 * F31))</f>
        <v>3072.321913636406</v>
      </c>
    </row>
    <row r="32" spans="1:8" x14ac:dyDescent="0.35">
      <c r="A32" s="6">
        <v>23</v>
      </c>
      <c r="B32" s="6">
        <v>1</v>
      </c>
      <c r="C32" s="6">
        <v>2</v>
      </c>
      <c r="D32" s="6">
        <v>1</v>
      </c>
      <c r="E32" s="6">
        <v>0</v>
      </c>
      <c r="F32" s="6">
        <v>2020</v>
      </c>
      <c r="G32" s="5">
        <v>34798.94</v>
      </c>
      <c r="H32">
        <f>(($O$10) + ($O$11 * B32) + ($O$12 * C32) + ($O$13 * D32) + ($O$15 * F32))</f>
        <v>38193.16816363635</v>
      </c>
    </row>
    <row r="33" spans="1:8" x14ac:dyDescent="0.35">
      <c r="A33" s="6">
        <v>24</v>
      </c>
      <c r="B33" s="6">
        <v>1</v>
      </c>
      <c r="C33" s="6">
        <v>1</v>
      </c>
      <c r="D33" s="6">
        <v>0</v>
      </c>
      <c r="E33" s="6">
        <v>0</v>
      </c>
      <c r="F33" s="6">
        <v>2020</v>
      </c>
      <c r="G33" s="5">
        <v>7377.55</v>
      </c>
      <c r="H33">
        <f>(($O$10) + ($O$11 * B33) + ($O$12 * C33) + ($O$13 * D33) + ($O$15 * F33))</f>
        <v>7165.1780136363814</v>
      </c>
    </row>
    <row r="34" spans="1:8" x14ac:dyDescent="0.35">
      <c r="A34" s="6">
        <v>25</v>
      </c>
      <c r="B34" s="6">
        <v>0</v>
      </c>
      <c r="C34" s="6">
        <v>3</v>
      </c>
      <c r="D34" s="6">
        <v>0</v>
      </c>
      <c r="E34" s="6">
        <v>1</v>
      </c>
      <c r="F34" s="6">
        <v>2019</v>
      </c>
      <c r="G34" s="5">
        <v>8266.59</v>
      </c>
      <c r="H34">
        <f>(($O$10) + ($O$11 * B34) + ($O$12 * C34) + ($O$13 * D34) + ($O$15 * F34))</f>
        <v>11232.47513181821</v>
      </c>
    </row>
    <row r="35" spans="1:8" x14ac:dyDescent="0.35">
      <c r="A35" s="6">
        <v>26</v>
      </c>
      <c r="B35" s="6">
        <v>0</v>
      </c>
      <c r="C35" s="6">
        <v>2</v>
      </c>
      <c r="D35" s="6">
        <v>1</v>
      </c>
      <c r="E35" s="6">
        <v>0</v>
      </c>
      <c r="F35" s="6">
        <v>2019</v>
      </c>
      <c r="G35" s="5">
        <v>51043.652999999998</v>
      </c>
      <c r="H35">
        <f>(($O$10) + ($O$11 * B35) + ($O$12 * C35) + ($O$13 * D35) + ($O$15 * F35))</f>
        <v>46353.321381818154</v>
      </c>
    </row>
    <row r="36" spans="1:8" x14ac:dyDescent="0.35">
      <c r="A36" s="6">
        <v>27</v>
      </c>
      <c r="B36" s="6">
        <v>0</v>
      </c>
      <c r="C36" s="6">
        <v>1</v>
      </c>
      <c r="D36" s="6">
        <v>0</v>
      </c>
      <c r="E36" s="6">
        <v>0</v>
      </c>
      <c r="F36" s="6">
        <v>2019</v>
      </c>
      <c r="G36" s="5">
        <v>15175.546</v>
      </c>
      <c r="H36">
        <f>(($O$10) + ($O$11 * B36) + ($O$12 * C36) + ($O$13 * D36) + ($O$15 * F36))</f>
        <v>15325.331231818185</v>
      </c>
    </row>
    <row r="37" spans="1:8" x14ac:dyDescent="0.35">
      <c r="A37" s="6">
        <v>28</v>
      </c>
      <c r="B37" s="6">
        <v>1</v>
      </c>
      <c r="C37" s="6">
        <v>3</v>
      </c>
      <c r="D37" s="6">
        <v>0</v>
      </c>
      <c r="E37" s="6">
        <v>1</v>
      </c>
      <c r="F37" s="6">
        <v>2019</v>
      </c>
      <c r="G37" s="5">
        <v>6684.9870000000001</v>
      </c>
      <c r="H37">
        <f>(($O$10) + ($O$11 * B37) + ($O$12 * C37) + ($O$13 * D37) + ($O$15 * F37))</f>
        <v>2737.3230984848924</v>
      </c>
    </row>
    <row r="38" spans="1:8" x14ac:dyDescent="0.35">
      <c r="A38" s="6">
        <v>29</v>
      </c>
      <c r="B38" s="6">
        <v>1</v>
      </c>
      <c r="C38" s="6">
        <v>2</v>
      </c>
      <c r="D38" s="6">
        <v>1</v>
      </c>
      <c r="E38" s="6">
        <v>0</v>
      </c>
      <c r="F38" s="6">
        <v>2019</v>
      </c>
      <c r="G38" s="5">
        <v>35303.462</v>
      </c>
      <c r="H38">
        <f>(($O$10) + ($O$11 * B38) + ($O$12 * C38) + ($O$13 * D38) + ($O$15 * F38))</f>
        <v>37858.169348484837</v>
      </c>
    </row>
    <row r="39" spans="1:8" x14ac:dyDescent="0.35">
      <c r="A39" s="6">
        <v>30</v>
      </c>
      <c r="B39" s="6">
        <v>1</v>
      </c>
      <c r="C39" s="6">
        <v>1</v>
      </c>
      <c r="D39" s="6">
        <v>0</v>
      </c>
      <c r="E39" s="6">
        <v>0</v>
      </c>
      <c r="F39" s="6">
        <v>2019</v>
      </c>
      <c r="G39" s="5">
        <v>7257.8230000000003</v>
      </c>
      <c r="H39">
        <f>(($O$10) + ($O$11 * B39) + ($O$12 * C39) + ($O$13 * D39) + ($O$15 * F39))</f>
        <v>6830.1791984848678</v>
      </c>
    </row>
    <row r="40" spans="1:8" x14ac:dyDescent="0.35">
      <c r="A40" s="6">
        <v>31</v>
      </c>
      <c r="B40" s="6">
        <v>0</v>
      </c>
      <c r="C40" s="6">
        <v>3</v>
      </c>
      <c r="D40" s="6">
        <v>0</v>
      </c>
      <c r="E40" s="6">
        <v>1</v>
      </c>
      <c r="F40" s="6">
        <v>2017</v>
      </c>
      <c r="G40" s="5">
        <v>7210.2340000000004</v>
      </c>
      <c r="H40">
        <f>(($O$10) + ($O$11 * B40) + ($O$12 * C40) + ($O$13 * D40) + ($O$15 * F40))</f>
        <v>10562.477501515183</v>
      </c>
    </row>
    <row r="41" spans="1:8" x14ac:dyDescent="0.35">
      <c r="A41" s="6">
        <v>32</v>
      </c>
      <c r="B41" s="6">
        <v>0</v>
      </c>
      <c r="C41" s="6">
        <v>2</v>
      </c>
      <c r="D41" s="6">
        <v>1</v>
      </c>
      <c r="E41" s="6">
        <v>0</v>
      </c>
      <c r="F41" s="6">
        <v>2017</v>
      </c>
      <c r="G41" s="5">
        <v>49277.485999999997</v>
      </c>
      <c r="H41">
        <f>(($O$10) + ($O$11 * B41) + ($O$12 * C41) + ($O$13 * D41) + ($O$15 * F41))</f>
        <v>45683.323751515127</v>
      </c>
    </row>
    <row r="42" spans="1:8" x14ac:dyDescent="0.35">
      <c r="A42" s="6">
        <v>33</v>
      </c>
      <c r="B42" s="6">
        <v>0</v>
      </c>
      <c r="C42" s="6">
        <v>1</v>
      </c>
      <c r="D42" s="6">
        <v>0</v>
      </c>
      <c r="E42" s="6">
        <v>0</v>
      </c>
      <c r="F42" s="6">
        <v>2017</v>
      </c>
      <c r="G42" s="5">
        <v>13909.404</v>
      </c>
      <c r="H42">
        <f>(($O$10) + ($O$11 * B42) + ($O$12 * C42) + ($O$13 * D42) + ($O$15 * F42))</f>
        <v>14655.333601515158</v>
      </c>
    </row>
    <row r="43" spans="1:8" x14ac:dyDescent="0.35">
      <c r="A43" s="6">
        <v>34</v>
      </c>
      <c r="B43" s="6">
        <v>1</v>
      </c>
      <c r="C43" s="6">
        <v>3</v>
      </c>
      <c r="D43" s="6">
        <v>0</v>
      </c>
      <c r="E43" s="6">
        <v>1</v>
      </c>
      <c r="F43" s="6">
        <v>2017</v>
      </c>
      <c r="G43" s="5">
        <v>5970.0360000000001</v>
      </c>
      <c r="H43">
        <f>(($O$10) + ($O$11 * B43) + ($O$12 * C43) + ($O$13 * D43) + ($O$15 * F43))</f>
        <v>2067.3254681818653</v>
      </c>
    </row>
    <row r="44" spans="1:8" x14ac:dyDescent="0.35">
      <c r="A44" s="6">
        <v>35</v>
      </c>
      <c r="B44" s="6">
        <v>1</v>
      </c>
      <c r="C44" s="6">
        <v>2</v>
      </c>
      <c r="D44" s="6">
        <v>1</v>
      </c>
      <c r="E44" s="6">
        <v>0</v>
      </c>
      <c r="F44" s="6">
        <v>2017</v>
      </c>
      <c r="G44" s="5">
        <v>33099.213000000003</v>
      </c>
      <c r="H44">
        <f>(($O$10) + ($O$11 * B44) + ($O$12 * C44) + ($O$13 * D44) + ($O$15 * F44))</f>
        <v>37188.171718181809</v>
      </c>
    </row>
    <row r="45" spans="1:8" x14ac:dyDescent="0.35">
      <c r="A45" s="6">
        <v>36</v>
      </c>
      <c r="B45" s="6">
        <v>1</v>
      </c>
      <c r="C45" s="6">
        <v>1</v>
      </c>
      <c r="D45" s="6">
        <v>0</v>
      </c>
      <c r="E45" s="6">
        <v>0</v>
      </c>
      <c r="F45" s="6">
        <v>2017</v>
      </c>
      <c r="G45" s="5">
        <v>6624.2659999999996</v>
      </c>
      <c r="H45">
        <f>(($O$10) + ($O$11 * B45) + ($O$12 * C45) + ($O$13 * D45) + ($O$15 * F45))</f>
        <v>6160.1815681818407</v>
      </c>
    </row>
    <row r="46" spans="1:8" x14ac:dyDescent="0.35">
      <c r="A46" s="6">
        <v>37</v>
      </c>
      <c r="B46" s="6">
        <v>0</v>
      </c>
      <c r="C46" s="6">
        <v>3</v>
      </c>
      <c r="D46" s="6">
        <v>0</v>
      </c>
      <c r="E46" s="6">
        <v>1</v>
      </c>
      <c r="F46" s="6">
        <v>2016</v>
      </c>
      <c r="G46" s="5">
        <v>7496.27</v>
      </c>
      <c r="H46">
        <f>(($O$10) + ($O$11 * B46) + ($O$12 * C46) + ($O$13 * D46) + ($O$15 * F46))</f>
        <v>10227.478686363669</v>
      </c>
    </row>
    <row r="47" spans="1:8" x14ac:dyDescent="0.35">
      <c r="A47" s="6">
        <v>38</v>
      </c>
      <c r="B47" s="6">
        <v>0</v>
      </c>
      <c r="C47" s="6">
        <v>2</v>
      </c>
      <c r="D47" s="6">
        <v>1</v>
      </c>
      <c r="E47" s="6">
        <v>0</v>
      </c>
      <c r="F47" s="6">
        <v>2016</v>
      </c>
      <c r="G47" s="5">
        <v>47713.982000000004</v>
      </c>
      <c r="H47">
        <f>(($O$10) + ($O$11 * B47) + ($O$12 * C47) + ($O$13 * D47) + ($O$15 * F47))</f>
        <v>45348.324936363613</v>
      </c>
    </row>
    <row r="48" spans="1:8" x14ac:dyDescent="0.35">
      <c r="A48" s="6">
        <v>39</v>
      </c>
      <c r="B48" s="6">
        <v>0</v>
      </c>
      <c r="C48" s="6">
        <v>1</v>
      </c>
      <c r="D48" s="6">
        <v>0</v>
      </c>
      <c r="E48" s="6">
        <v>0</v>
      </c>
      <c r="F48" s="6">
        <v>2016</v>
      </c>
      <c r="G48" s="5">
        <v>13301.785</v>
      </c>
      <c r="H48">
        <f>(($O$10) + ($O$11 * B48) + ($O$12 * C48) + ($O$13 * D48) + ($O$15 * F48))</f>
        <v>14320.334786363645</v>
      </c>
    </row>
    <row r="49" spans="1:8" x14ac:dyDescent="0.35">
      <c r="A49" s="6">
        <v>40</v>
      </c>
      <c r="B49" s="6">
        <v>1</v>
      </c>
      <c r="C49" s="6">
        <v>3</v>
      </c>
      <c r="D49" s="6">
        <v>0</v>
      </c>
      <c r="E49" s="6">
        <v>1</v>
      </c>
      <c r="F49" s="6">
        <v>2016</v>
      </c>
      <c r="G49" s="5">
        <v>7055.7160000000003</v>
      </c>
      <c r="H49">
        <f>(($O$10) + ($O$11 * B49) + ($O$12 * C49) + ($O$13 * D49) + ($O$15 * F49))</f>
        <v>1732.3266530303517</v>
      </c>
    </row>
    <row r="50" spans="1:8" x14ac:dyDescent="0.35">
      <c r="A50" s="6">
        <v>41</v>
      </c>
      <c r="B50" s="6">
        <v>1</v>
      </c>
      <c r="C50" s="6">
        <v>2</v>
      </c>
      <c r="D50" s="6">
        <v>1</v>
      </c>
      <c r="E50" s="6">
        <v>0</v>
      </c>
      <c r="F50" s="6">
        <v>2016</v>
      </c>
      <c r="G50" s="5">
        <v>30207.173999999999</v>
      </c>
      <c r="H50">
        <f>(($O$10) + ($O$11 * B50) + ($O$12 * C50) + ($O$13 * D50) + ($O$15 * F50))</f>
        <v>36853.172903030296</v>
      </c>
    </row>
    <row r="51" spans="1:8" x14ac:dyDescent="0.35">
      <c r="A51" s="6">
        <v>42</v>
      </c>
      <c r="B51" s="6">
        <v>1</v>
      </c>
      <c r="C51" s="6">
        <v>1</v>
      </c>
      <c r="D51" s="6">
        <v>0</v>
      </c>
      <c r="E51" s="6">
        <v>0</v>
      </c>
      <c r="F51" s="6">
        <v>2016</v>
      </c>
      <c r="G51" s="5">
        <v>6784.6360000000004</v>
      </c>
      <c r="H51">
        <f>(($O$10) + ($O$11 * B51) + ($O$12 * C51) + ($O$13 * D51) + ($O$15 * F51))</f>
        <v>5825.1827530303271</v>
      </c>
    </row>
    <row r="52" spans="1:8" x14ac:dyDescent="0.35">
      <c r="A52" s="6">
        <v>43</v>
      </c>
      <c r="B52" s="6">
        <v>0</v>
      </c>
      <c r="C52" s="6">
        <v>3</v>
      </c>
      <c r="D52" s="6">
        <v>0</v>
      </c>
      <c r="E52" s="6">
        <v>1</v>
      </c>
      <c r="F52" s="6">
        <v>2015</v>
      </c>
      <c r="G52" s="5">
        <v>6260.3050000000003</v>
      </c>
      <c r="H52">
        <f>(($O$10) + ($O$11 * B52) + ($O$12 * C52) + ($O$13 * D52) + ($O$15 * F52))</f>
        <v>9892.4798712121556</v>
      </c>
    </row>
    <row r="53" spans="1:8" x14ac:dyDescent="0.35">
      <c r="A53" s="6">
        <v>44</v>
      </c>
      <c r="B53" s="6">
        <v>0</v>
      </c>
      <c r="C53" s="6">
        <v>2</v>
      </c>
      <c r="D53" s="6">
        <v>1</v>
      </c>
      <c r="E53" s="6">
        <v>0</v>
      </c>
      <c r="F53" s="6">
        <v>2015</v>
      </c>
      <c r="G53" s="5">
        <v>48491.731</v>
      </c>
      <c r="H53">
        <f>(($O$10) + ($O$11 * B53) + ($O$12 * C53) + ($O$13 * D53) + ($O$15 * F53))</f>
        <v>45013.3261212121</v>
      </c>
    </row>
    <row r="54" spans="1:8" x14ac:dyDescent="0.35">
      <c r="A54" s="6">
        <v>45</v>
      </c>
      <c r="B54" s="6">
        <v>0</v>
      </c>
      <c r="C54" s="6">
        <v>1</v>
      </c>
      <c r="D54" s="6">
        <v>0</v>
      </c>
      <c r="E54" s="6">
        <v>0</v>
      </c>
      <c r="F54" s="6">
        <v>2015</v>
      </c>
      <c r="G54" s="5">
        <v>13992.143</v>
      </c>
      <c r="H54">
        <f>(($O$10) + ($O$11 * B54) + ($O$12 * C54) + ($O$13 * D54) + ($O$15 * F54))</f>
        <v>13985.335971212131</v>
      </c>
    </row>
    <row r="55" spans="1:8" x14ac:dyDescent="0.35">
      <c r="A55" s="6">
        <v>46</v>
      </c>
      <c r="B55" s="6">
        <v>1</v>
      </c>
      <c r="C55" s="6">
        <v>3</v>
      </c>
      <c r="D55" s="6">
        <v>0</v>
      </c>
      <c r="E55" s="6">
        <v>1</v>
      </c>
      <c r="F55" s="6">
        <v>2015</v>
      </c>
      <c r="G55" s="5">
        <v>5137.0940000000001</v>
      </c>
      <c r="H55">
        <f>(($O$10) + ($O$11 * B55) + ($O$12 * C55) + ($O$13 * D55) + ($O$15 * F55))</f>
        <v>1397.3278378788382</v>
      </c>
    </row>
    <row r="56" spans="1:8" x14ac:dyDescent="0.35">
      <c r="A56" s="6">
        <v>47</v>
      </c>
      <c r="B56" s="6">
        <v>1</v>
      </c>
      <c r="C56" s="6">
        <v>2</v>
      </c>
      <c r="D56" s="6">
        <v>1</v>
      </c>
      <c r="E56" s="6">
        <v>0</v>
      </c>
      <c r="F56" s="6">
        <v>2015</v>
      </c>
      <c r="G56" s="5">
        <v>31624.342000000001</v>
      </c>
      <c r="H56">
        <f>(($O$10) + ($O$11 * B56) + ($O$12 * C56) + ($O$13 * D56) + ($O$15 * F56))</f>
        <v>36518.174087878782</v>
      </c>
    </row>
    <row r="57" spans="1:8" x14ac:dyDescent="0.35">
      <c r="A57" s="6">
        <v>48</v>
      </c>
      <c r="B57" s="6">
        <v>1</v>
      </c>
      <c r="C57" s="6">
        <v>1</v>
      </c>
      <c r="D57" s="6">
        <v>0</v>
      </c>
      <c r="E57" s="6">
        <v>0</v>
      </c>
      <c r="F57" s="6">
        <v>2015</v>
      </c>
      <c r="G57" s="5">
        <v>6213.326</v>
      </c>
      <c r="H57">
        <f>(($O$10) + ($O$11 * B57) + ($O$12 * C57) + ($O$13 * D57) + ($O$15 * F57))</f>
        <v>5490.1839378788136</v>
      </c>
    </row>
    <row r="58" spans="1:8" x14ac:dyDescent="0.35">
      <c r="A58" s="6">
        <v>49</v>
      </c>
      <c r="B58" s="6">
        <v>0</v>
      </c>
      <c r="C58" s="6">
        <v>3</v>
      </c>
      <c r="D58" s="6">
        <v>0</v>
      </c>
      <c r="E58" s="6">
        <v>1</v>
      </c>
      <c r="F58" s="6">
        <v>2014</v>
      </c>
      <c r="G58" s="5">
        <v>5856.9459999999999</v>
      </c>
      <c r="H58">
        <f>(($O$10) + ($O$11 * B58) + ($O$12 * C58) + ($O$13 * D58) + ($O$15 * F58))</f>
        <v>9557.481056060642</v>
      </c>
    </row>
    <row r="59" spans="1:8" x14ac:dyDescent="0.35">
      <c r="A59" s="6">
        <v>50</v>
      </c>
      <c r="B59" s="6">
        <v>0</v>
      </c>
      <c r="C59" s="6">
        <v>2</v>
      </c>
      <c r="D59" s="6">
        <v>1</v>
      </c>
      <c r="E59" s="6">
        <v>0</v>
      </c>
      <c r="F59" s="6">
        <v>2014</v>
      </c>
      <c r="G59" s="5">
        <v>49465.315000000002</v>
      </c>
      <c r="H59">
        <f>(($O$10) + ($O$11 * B59) + ($O$12 * C59) + ($O$13 * D59) + ($O$15 * F59))</f>
        <v>44678.327306060586</v>
      </c>
    </row>
    <row r="60" spans="1:8" x14ac:dyDescent="0.35">
      <c r="A60" s="6">
        <v>51</v>
      </c>
      <c r="B60" s="6">
        <v>0</v>
      </c>
      <c r="C60" s="6">
        <v>1</v>
      </c>
      <c r="D60" s="6">
        <v>0</v>
      </c>
      <c r="E60" s="6">
        <v>0</v>
      </c>
      <c r="F60" s="6">
        <v>2014</v>
      </c>
      <c r="G60" s="5">
        <v>12882.967000000001</v>
      </c>
      <c r="H60">
        <f>(($O$10) + ($O$11 * B60) + ($O$12 * C60) + ($O$13 * D60) + ($O$15 * F60))</f>
        <v>13650.337156060617</v>
      </c>
    </row>
    <row r="61" spans="1:8" x14ac:dyDescent="0.35">
      <c r="A61" s="6">
        <v>52</v>
      </c>
      <c r="B61" s="6">
        <v>1</v>
      </c>
      <c r="C61" s="6">
        <v>3</v>
      </c>
      <c r="D61" s="6">
        <v>0</v>
      </c>
      <c r="E61" s="6">
        <v>1</v>
      </c>
      <c r="F61" s="6">
        <v>2014</v>
      </c>
      <c r="G61" s="5">
        <v>4854.3850000000002</v>
      </c>
      <c r="H61">
        <f>(($O$10) + ($O$11 * B61) + ($O$12 * C61) + ($O$13 * D61) + ($O$15 * F61))</f>
        <v>1062.3290227273246</v>
      </c>
    </row>
    <row r="62" spans="1:8" x14ac:dyDescent="0.35">
      <c r="A62" s="6">
        <v>53</v>
      </c>
      <c r="B62" s="6">
        <v>1</v>
      </c>
      <c r="C62" s="6">
        <v>2</v>
      </c>
      <c r="D62" s="6">
        <v>1</v>
      </c>
      <c r="E62" s="6">
        <v>0</v>
      </c>
      <c r="F62" s="6">
        <v>2014</v>
      </c>
      <c r="G62" s="5">
        <v>31999.760999999999</v>
      </c>
      <c r="H62">
        <f>(($O$10) + ($O$11 * B62) + ($O$12 * C62) + ($O$13 * D62) + ($O$15 * F62))</f>
        <v>36183.175272727269</v>
      </c>
    </row>
    <row r="63" spans="1:8" x14ac:dyDescent="0.35">
      <c r="A63" s="6">
        <v>54</v>
      </c>
      <c r="B63" s="6">
        <v>1</v>
      </c>
      <c r="C63" s="6">
        <v>1</v>
      </c>
      <c r="D63" s="6">
        <v>0</v>
      </c>
      <c r="E63" s="6">
        <v>0</v>
      </c>
      <c r="F63" s="6">
        <v>2014</v>
      </c>
      <c r="G63" s="5">
        <v>5609.5839999999998</v>
      </c>
      <c r="H63">
        <f>(($O$10) + ($O$11 * B63) + ($O$12 * C63) + ($O$13 * D63) + ($O$15 * F63))</f>
        <v>5155.1851227273</v>
      </c>
    </row>
    <row r="64" spans="1:8" x14ac:dyDescent="0.35">
      <c r="A64" s="6">
        <v>55</v>
      </c>
      <c r="B64" s="6">
        <v>0</v>
      </c>
      <c r="C64" s="6">
        <v>3</v>
      </c>
      <c r="D64" s="6">
        <v>0</v>
      </c>
      <c r="E64" s="6">
        <v>1</v>
      </c>
      <c r="F64" s="6">
        <v>2013</v>
      </c>
      <c r="G64" s="5">
        <v>5735.3890000000001</v>
      </c>
      <c r="H64">
        <f>(($O$10) + ($O$11 * B64) + ($O$12 * C64) + ($O$13 * D64) + ($O$15 * F64))</f>
        <v>9222.4822409091284</v>
      </c>
    </row>
    <row r="65" spans="1:8" x14ac:dyDescent="0.35">
      <c r="A65" s="6">
        <v>56</v>
      </c>
      <c r="B65" s="6">
        <v>0</v>
      </c>
      <c r="C65" s="6">
        <v>2</v>
      </c>
      <c r="D65" s="6">
        <v>1</v>
      </c>
      <c r="E65" s="6">
        <v>0</v>
      </c>
      <c r="F65" s="6">
        <v>2013</v>
      </c>
      <c r="G65" s="5">
        <v>49225.752</v>
      </c>
      <c r="H65">
        <f>(($O$10) + ($O$11 * B65) + ($O$12 * C65) + ($O$13 * D65) + ($O$15 * F65))</f>
        <v>44343.328490909073</v>
      </c>
    </row>
    <row r="66" spans="1:8" x14ac:dyDescent="0.35">
      <c r="A66" s="6">
        <v>57</v>
      </c>
      <c r="B66" s="6">
        <v>0</v>
      </c>
      <c r="C66" s="6">
        <v>1</v>
      </c>
      <c r="D66" s="6">
        <v>0</v>
      </c>
      <c r="E66" s="6">
        <v>0</v>
      </c>
      <c r="F66" s="6">
        <v>2013</v>
      </c>
      <c r="G66" s="5">
        <v>12189.418</v>
      </c>
      <c r="H66">
        <f>(($O$10) + ($O$11 * B66) + ($O$12 * C66) + ($O$13 * D66) + ($O$15 * F66))</f>
        <v>13315.338340909104</v>
      </c>
    </row>
    <row r="67" spans="1:8" x14ac:dyDescent="0.35">
      <c r="A67" s="6">
        <v>58</v>
      </c>
      <c r="B67" s="6">
        <v>1</v>
      </c>
      <c r="C67" s="6">
        <v>3</v>
      </c>
      <c r="D67" s="6">
        <v>0</v>
      </c>
      <c r="E67" s="6">
        <v>1</v>
      </c>
      <c r="F67" s="6">
        <v>2013</v>
      </c>
      <c r="G67" s="5">
        <v>4577.366</v>
      </c>
      <c r="H67">
        <f>(($O$10) + ($O$11 * B67) + ($O$12 * C67) + ($O$13 * D67) + ($O$15 * F67))</f>
        <v>727.33020757581107</v>
      </c>
    </row>
    <row r="68" spans="1:8" x14ac:dyDescent="0.35">
      <c r="A68" s="6">
        <v>59</v>
      </c>
      <c r="B68" s="6">
        <v>1</v>
      </c>
      <c r="C68" s="6">
        <v>2</v>
      </c>
      <c r="D68" s="6">
        <v>1</v>
      </c>
      <c r="E68" s="6">
        <v>0</v>
      </c>
      <c r="F68" s="6">
        <v>2013</v>
      </c>
      <c r="G68" s="5">
        <v>31708.381000000001</v>
      </c>
      <c r="H68">
        <f>(($O$10) + ($O$11 * B68) + ($O$12 * C68) + ($O$13 * D68) + ($O$15 * F68))</f>
        <v>35848.176457575755</v>
      </c>
    </row>
    <row r="69" spans="1:8" x14ac:dyDescent="0.35">
      <c r="A69" s="6">
        <v>60</v>
      </c>
      <c r="B69" s="6">
        <v>1</v>
      </c>
      <c r="C69" s="6">
        <v>1</v>
      </c>
      <c r="D69" s="6">
        <v>0</v>
      </c>
      <c r="E69" s="6">
        <v>0</v>
      </c>
      <c r="F69" s="6">
        <v>2013</v>
      </c>
      <c r="G69" s="5">
        <v>5431.6109999999999</v>
      </c>
      <c r="H69">
        <f>(($O$10) + ($O$11 * B69) + ($O$12 * C69) + ($O$13 * D69) + ($O$15 * F69))</f>
        <v>4820.1863075757865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D8CA-96F6-44B5-9855-2B6C169219E1}">
  <dimension ref="A1:O69"/>
  <sheetViews>
    <sheetView tabSelected="1" topLeftCell="D1" zoomScale="92" workbookViewId="0">
      <selection activeCell="L16" sqref="L16"/>
    </sheetView>
  </sheetViews>
  <sheetFormatPr defaultRowHeight="14.5" x14ac:dyDescent="0.35"/>
  <cols>
    <col min="1" max="1" width="11.08984375" customWidth="1"/>
    <col min="2" max="2" width="12.1796875" customWidth="1"/>
    <col min="3" max="3" width="26.6328125" customWidth="1"/>
    <col min="4" max="4" width="17.36328125" bestFit="1" customWidth="1"/>
    <col min="5" max="5" width="15.90625" customWidth="1"/>
    <col min="6" max="6" width="9.453125" customWidth="1"/>
    <col min="7" max="7" width="11.6328125" customWidth="1"/>
    <col min="9" max="9" width="22.36328125" customWidth="1"/>
    <col min="10" max="10" width="13.08984375" customWidth="1"/>
    <col min="11" max="11" width="18" customWidth="1"/>
    <col min="12" max="12" width="12.453125" bestFit="1" customWidth="1"/>
    <col min="14" max="14" width="24.6328125" bestFit="1" customWidth="1"/>
    <col min="15" max="15" width="12.453125" bestFit="1" customWidth="1"/>
  </cols>
  <sheetData>
    <row r="1" spans="1:15" x14ac:dyDescent="0.35">
      <c r="A1" s="2" t="s">
        <v>14</v>
      </c>
    </row>
    <row r="2" spans="1:15" x14ac:dyDescent="0.35">
      <c r="H2" s="2" t="s">
        <v>49</v>
      </c>
      <c r="K2" s="2" t="s">
        <v>50</v>
      </c>
    </row>
    <row r="3" spans="1:15" x14ac:dyDescent="0.35">
      <c r="A3" s="2" t="s">
        <v>37</v>
      </c>
      <c r="B3" t="s">
        <v>12</v>
      </c>
      <c r="H3" t="s">
        <v>46</v>
      </c>
      <c r="K3" t="s">
        <v>51</v>
      </c>
    </row>
    <row r="4" spans="1:15" x14ac:dyDescent="0.35">
      <c r="A4" s="2" t="s">
        <v>38</v>
      </c>
      <c r="B4" t="s">
        <v>39</v>
      </c>
      <c r="H4" t="s">
        <v>47</v>
      </c>
      <c r="K4" t="s">
        <v>52</v>
      </c>
    </row>
    <row r="5" spans="1:15" x14ac:dyDescent="0.35">
      <c r="B5" s="3" t="s">
        <v>40</v>
      </c>
      <c r="H5" t="s">
        <v>48</v>
      </c>
    </row>
    <row r="6" spans="1:15" x14ac:dyDescent="0.35">
      <c r="B6" s="3"/>
    </row>
    <row r="7" spans="1:15" x14ac:dyDescent="0.35">
      <c r="A7" s="2" t="s">
        <v>42</v>
      </c>
      <c r="B7" s="4" t="s">
        <v>43</v>
      </c>
    </row>
    <row r="8" spans="1:15" ht="15" thickBot="1" x14ac:dyDescent="0.4">
      <c r="B8" s="2"/>
    </row>
    <row r="9" spans="1:15" x14ac:dyDescent="0.35">
      <c r="A9" s="7" t="s">
        <v>55</v>
      </c>
      <c r="B9" s="11" t="s">
        <v>56</v>
      </c>
      <c r="C9" s="7" t="s">
        <v>85</v>
      </c>
      <c r="D9" s="12" t="s">
        <v>86</v>
      </c>
      <c r="E9" s="12" t="s">
        <v>87</v>
      </c>
      <c r="F9" s="11" t="s">
        <v>59</v>
      </c>
      <c r="G9" s="13" t="s">
        <v>58</v>
      </c>
      <c r="H9" s="2" t="s">
        <v>92</v>
      </c>
      <c r="J9" s="2" t="s">
        <v>88</v>
      </c>
      <c r="L9">
        <v>60</v>
      </c>
      <c r="N9" s="9"/>
      <c r="O9" s="9" t="s">
        <v>76</v>
      </c>
    </row>
    <row r="10" spans="1:15" x14ac:dyDescent="0.35">
      <c r="A10" s="6">
        <v>1</v>
      </c>
      <c r="B10" s="6">
        <v>0</v>
      </c>
      <c r="C10" s="6">
        <v>3</v>
      </c>
      <c r="D10" s="6">
        <v>0</v>
      </c>
      <c r="E10" s="6">
        <v>1</v>
      </c>
      <c r="F10" s="6">
        <v>2023</v>
      </c>
      <c r="G10" s="5">
        <v>7911.1139999999996</v>
      </c>
      <c r="H10">
        <f>(($O$10) + ($O$11 * B10) + ($O$12 * C10) + ($O$13 * D10) + ($O$15 * F10))</f>
        <v>12572.470392424264</v>
      </c>
      <c r="J10" s="2" t="s">
        <v>95</v>
      </c>
      <c r="L10">
        <v>4</v>
      </c>
      <c r="N10" t="s">
        <v>70</v>
      </c>
      <c r="O10">
        <v>-658990.84850908956</v>
      </c>
    </row>
    <row r="11" spans="1:15" x14ac:dyDescent="0.35">
      <c r="A11" s="6">
        <v>2</v>
      </c>
      <c r="B11" s="6">
        <v>0</v>
      </c>
      <c r="C11" s="6">
        <v>2</v>
      </c>
      <c r="D11" s="6">
        <v>1</v>
      </c>
      <c r="E11" s="6">
        <v>0</v>
      </c>
      <c r="F11" s="6">
        <v>2023</v>
      </c>
      <c r="G11" s="5">
        <v>53195.45</v>
      </c>
      <c r="H11">
        <f>(($O$10) + ($O$11 * B11) + ($O$12 * C11) + ($O$13 * D11) + ($O$15 * F11))</f>
        <v>47693.316642424208</v>
      </c>
      <c r="J11" s="2" t="s">
        <v>63</v>
      </c>
      <c r="L11">
        <v>0.96044326097826882</v>
      </c>
      <c r="N11" t="s">
        <v>56</v>
      </c>
      <c r="O11">
        <v>-8495.1520333333283</v>
      </c>
    </row>
    <row r="12" spans="1:15" x14ac:dyDescent="0.35">
      <c r="A12" s="6">
        <v>3</v>
      </c>
      <c r="B12" s="6">
        <v>0</v>
      </c>
      <c r="C12" s="6">
        <v>1</v>
      </c>
      <c r="D12" s="6">
        <v>0</v>
      </c>
      <c r="E12" s="6">
        <v>0</v>
      </c>
      <c r="F12" s="6">
        <v>2023</v>
      </c>
      <c r="G12" s="5">
        <v>17413.935000000001</v>
      </c>
      <c r="H12">
        <f>(($O$10) + ($O$11 * B12) + ($O$12 * C12) + ($O$13 * D12) + ($O$15 * F12))</f>
        <v>16665.326492424239</v>
      </c>
      <c r="J12" s="2" t="s">
        <v>62</v>
      </c>
      <c r="L12">
        <f>SQRT($L$11)</f>
        <v>0.98002207167913769</v>
      </c>
      <c r="N12" t="s">
        <v>57</v>
      </c>
      <c r="O12">
        <v>-2046.4280499999977</v>
      </c>
    </row>
    <row r="13" spans="1:15" x14ac:dyDescent="0.35">
      <c r="A13" s="6">
        <v>4</v>
      </c>
      <c r="B13" s="6">
        <v>1</v>
      </c>
      <c r="C13" s="6">
        <v>3</v>
      </c>
      <c r="D13" s="6">
        <v>0</v>
      </c>
      <c r="E13" s="6">
        <v>1</v>
      </c>
      <c r="F13" s="6">
        <v>2023</v>
      </c>
      <c r="G13" s="5">
        <v>7212.9009999999998</v>
      </c>
      <c r="H13">
        <f>(($O$10) + ($O$11 * B13) + ($O$12 * C13) + ($O$13 * D13) + ($O$15 * F13))</f>
        <v>4077.3183590909466</v>
      </c>
      <c r="J13" s="2" t="s">
        <v>96</v>
      </c>
      <c r="L13">
        <f>$L$9 - 1</f>
        <v>59</v>
      </c>
      <c r="N13" t="s">
        <v>83</v>
      </c>
      <c r="O13">
        <v>33074.4182</v>
      </c>
    </row>
    <row r="14" spans="1:15" x14ac:dyDescent="0.35">
      <c r="A14" s="6">
        <v>5</v>
      </c>
      <c r="B14" s="6">
        <v>1</v>
      </c>
      <c r="C14" s="6">
        <v>2</v>
      </c>
      <c r="D14" s="6">
        <v>1</v>
      </c>
      <c r="E14" s="6">
        <v>0</v>
      </c>
      <c r="F14" s="6">
        <v>2023</v>
      </c>
      <c r="G14" s="5">
        <v>35508.483999999997</v>
      </c>
      <c r="H14">
        <f>(($O$10) + ($O$11 * B14) + ($O$12 * C14) + ($O$13 * D14) + ($O$15 * F14))</f>
        <v>39198.164609090891</v>
      </c>
      <c r="J14" s="2" t="s">
        <v>97</v>
      </c>
      <c r="L14">
        <f>$L$9-$L$10-1</f>
        <v>55</v>
      </c>
      <c r="N14" t="s">
        <v>84</v>
      </c>
      <c r="O14">
        <v>0</v>
      </c>
    </row>
    <row r="15" spans="1:15" ht="15" thickBot="1" x14ac:dyDescent="0.4">
      <c r="A15" s="6">
        <v>6</v>
      </c>
      <c r="B15" s="6">
        <v>1</v>
      </c>
      <c r="C15" s="6">
        <v>1</v>
      </c>
      <c r="D15" s="6">
        <v>0</v>
      </c>
      <c r="E15" s="6">
        <v>0</v>
      </c>
      <c r="F15" s="6">
        <v>2023</v>
      </c>
      <c r="G15" s="5">
        <v>8143.9160000000002</v>
      </c>
      <c r="H15">
        <f>(($O$10) + ($O$11 * B15) + ($O$12 * C15) + ($O$13 * D15) + ($O$15 * F15))</f>
        <v>8170.174459090922</v>
      </c>
      <c r="J15" s="2" t="s">
        <v>64</v>
      </c>
      <c r="L15">
        <f>1 - ((1 - $L$11) * $L$13 / $L$14)</f>
        <v>0.95756640723123387</v>
      </c>
      <c r="N15" s="8" t="s">
        <v>59</v>
      </c>
      <c r="O15" s="8">
        <v>334.99881515151446</v>
      </c>
    </row>
    <row r="16" spans="1:15" x14ac:dyDescent="0.35">
      <c r="A16" s="6">
        <v>7</v>
      </c>
      <c r="B16" s="6">
        <v>0</v>
      </c>
      <c r="C16" s="6">
        <v>3</v>
      </c>
      <c r="D16" s="6">
        <v>0</v>
      </c>
      <c r="E16" s="6">
        <v>1</v>
      </c>
      <c r="F16" s="6">
        <v>2022</v>
      </c>
      <c r="G16" s="5">
        <v>7592.6880000000001</v>
      </c>
      <c r="H16">
        <f>(($O$10) + ($O$11 * B16) + ($O$12 * C16) + ($O$13 * D16) + ($O$15 * F16))</f>
        <v>12237.47157727275</v>
      </c>
    </row>
    <row r="17" spans="1:8" x14ac:dyDescent="0.35">
      <c r="A17" s="6">
        <v>8</v>
      </c>
      <c r="B17" s="6">
        <v>0</v>
      </c>
      <c r="C17" s="6">
        <v>2</v>
      </c>
      <c r="D17" s="6">
        <v>1</v>
      </c>
      <c r="E17" s="6">
        <v>0</v>
      </c>
      <c r="F17" s="6">
        <v>2022</v>
      </c>
      <c r="G17" s="5">
        <v>52196.947999999997</v>
      </c>
      <c r="H17">
        <f>(($O$10) + ($O$11 * B17) + ($O$12 * C17) + ($O$13 * D17) + ($O$15 * F17))</f>
        <v>47358.317827272695</v>
      </c>
    </row>
    <row r="18" spans="1:8" x14ac:dyDescent="0.35">
      <c r="A18" s="6">
        <v>9</v>
      </c>
      <c r="B18" s="6">
        <v>0</v>
      </c>
      <c r="C18" s="6">
        <v>1</v>
      </c>
      <c r="D18" s="6">
        <v>0</v>
      </c>
      <c r="E18" s="6">
        <v>0</v>
      </c>
      <c r="F18" s="6">
        <v>2022</v>
      </c>
      <c r="G18" s="5">
        <v>16392.506000000001</v>
      </c>
      <c r="H18">
        <f>(($O$10) + ($O$11 * B18) + ($O$12 * C18) + ($O$13 * D18) + ($O$15 * F18))</f>
        <v>16330.327677272726</v>
      </c>
    </row>
    <row r="19" spans="1:8" x14ac:dyDescent="0.35">
      <c r="A19" s="6">
        <v>10</v>
      </c>
      <c r="B19" s="6">
        <v>1</v>
      </c>
      <c r="C19" s="6">
        <v>3</v>
      </c>
      <c r="D19" s="6">
        <v>0</v>
      </c>
      <c r="E19" s="6">
        <v>1</v>
      </c>
      <c r="F19" s="6">
        <v>2022</v>
      </c>
      <c r="G19" s="5">
        <v>6778.7820000000002</v>
      </c>
      <c r="H19">
        <f>(($O$10) + ($O$11 * B19) + ($O$12 * C19) + ($O$13 * D19) + ($O$15 * F19))</f>
        <v>3742.3195439394331</v>
      </c>
    </row>
    <row r="20" spans="1:8" x14ac:dyDescent="0.35">
      <c r="A20" s="6">
        <v>11</v>
      </c>
      <c r="B20" s="6">
        <v>1</v>
      </c>
      <c r="C20" s="6">
        <v>2</v>
      </c>
      <c r="D20" s="6">
        <v>1</v>
      </c>
      <c r="E20" s="6">
        <v>0</v>
      </c>
      <c r="F20" s="6">
        <v>2022</v>
      </c>
      <c r="G20" s="5">
        <v>35146.932999999997</v>
      </c>
      <c r="H20">
        <f>(($O$10) + ($O$11 * B20) + ($O$12 * C20) + ($O$13 * D20) + ($O$15 * F20))</f>
        <v>38863.165793939377</v>
      </c>
    </row>
    <row r="21" spans="1:8" x14ac:dyDescent="0.35">
      <c r="A21" s="6">
        <v>12</v>
      </c>
      <c r="B21" s="6">
        <v>1</v>
      </c>
      <c r="C21" s="6">
        <v>1</v>
      </c>
      <c r="D21" s="6">
        <v>0</v>
      </c>
      <c r="E21" s="6">
        <v>0</v>
      </c>
      <c r="F21" s="6">
        <v>2022</v>
      </c>
      <c r="G21" s="5">
        <v>7596.62</v>
      </c>
      <c r="H21">
        <f>(($O$10) + ($O$11 * B21) + ($O$12 * C21) + ($O$13 * D21) + ($O$15 * F21))</f>
        <v>7835.1756439394085</v>
      </c>
    </row>
    <row r="22" spans="1:8" x14ac:dyDescent="0.35">
      <c r="A22" s="6">
        <v>13</v>
      </c>
      <c r="B22" s="6">
        <v>0</v>
      </c>
      <c r="C22" s="6">
        <v>3</v>
      </c>
      <c r="D22" s="6">
        <v>0</v>
      </c>
      <c r="E22" s="6">
        <v>1</v>
      </c>
      <c r="F22" s="6">
        <v>2021</v>
      </c>
      <c r="G22" s="5">
        <v>7300.0709999999999</v>
      </c>
      <c r="H22">
        <f>(($O$10) + ($O$11 * B22) + ($O$12 * C22) + ($O$13 * D22) + ($O$15 * F22))</f>
        <v>11902.472762121237</v>
      </c>
    </row>
    <row r="23" spans="1:8" x14ac:dyDescent="0.35">
      <c r="A23" s="6">
        <v>14</v>
      </c>
      <c r="B23" s="6">
        <v>0</v>
      </c>
      <c r="C23" s="6">
        <v>2</v>
      </c>
      <c r="D23" s="6">
        <v>1</v>
      </c>
      <c r="E23" s="6">
        <v>0</v>
      </c>
      <c r="F23" s="6">
        <v>2021</v>
      </c>
      <c r="G23" s="5">
        <v>49974.008999999998</v>
      </c>
      <c r="H23">
        <f>(($O$10) + ($O$11 * B23) + ($O$12 * C23) + ($O$13 * D23) + ($O$15 * F23))</f>
        <v>47023.319012121181</v>
      </c>
    </row>
    <row r="24" spans="1:8" x14ac:dyDescent="0.35">
      <c r="A24" s="6">
        <v>15</v>
      </c>
      <c r="B24" s="6">
        <v>0</v>
      </c>
      <c r="C24" s="6">
        <v>1</v>
      </c>
      <c r="D24" s="6">
        <v>0</v>
      </c>
      <c r="E24" s="6">
        <v>0</v>
      </c>
      <c r="F24" s="6">
        <v>2021</v>
      </c>
      <c r="G24" s="5">
        <v>15840.63</v>
      </c>
      <c r="H24">
        <f>(($O$10) + ($O$11 * B24) + ($O$12 * C24) + ($O$13 * D24) + ($O$15 * F24))</f>
        <v>15995.328862121212</v>
      </c>
    </row>
    <row r="25" spans="1:8" x14ac:dyDescent="0.35">
      <c r="A25" s="6">
        <v>16</v>
      </c>
      <c r="B25" s="6">
        <v>1</v>
      </c>
      <c r="C25" s="6">
        <v>3</v>
      </c>
      <c r="D25" s="6">
        <v>0</v>
      </c>
      <c r="E25" s="6">
        <v>1</v>
      </c>
      <c r="F25" s="6">
        <v>2021</v>
      </c>
      <c r="G25" s="5">
        <v>6652.2889999999998</v>
      </c>
      <c r="H25">
        <f>(($O$10) + ($O$11 * B25) + ($O$12 * C25) + ($O$13 * D25) + ($O$15 * F25))</f>
        <v>3407.3207287879195</v>
      </c>
    </row>
    <row r="26" spans="1:8" x14ac:dyDescent="0.35">
      <c r="A26" s="6">
        <v>17</v>
      </c>
      <c r="B26" s="6">
        <v>1</v>
      </c>
      <c r="C26" s="6">
        <v>2</v>
      </c>
      <c r="D26" s="6">
        <v>1</v>
      </c>
      <c r="E26" s="6">
        <v>0</v>
      </c>
      <c r="F26" s="6">
        <v>2021</v>
      </c>
      <c r="G26" s="5">
        <v>34688.707000000002</v>
      </c>
      <c r="H26">
        <f>(($O$10) + ($O$11 * B26) + ($O$12 * C26) + ($O$13 * D26) + ($O$15 * F26))</f>
        <v>38528.166978787864</v>
      </c>
    </row>
    <row r="27" spans="1:8" x14ac:dyDescent="0.35">
      <c r="A27" s="6">
        <v>18</v>
      </c>
      <c r="B27" s="6">
        <v>1</v>
      </c>
      <c r="C27" s="6">
        <v>1</v>
      </c>
      <c r="D27" s="6">
        <v>0</v>
      </c>
      <c r="E27" s="6">
        <v>0</v>
      </c>
      <c r="F27" s="6">
        <v>2021</v>
      </c>
      <c r="G27" s="5">
        <v>7467.13</v>
      </c>
      <c r="H27">
        <f>(($O$10) + ($O$11 * B27) + ($O$12 * C27) + ($O$13 * D27) + ($O$15 * F27))</f>
        <v>7500.1768287878949</v>
      </c>
    </row>
    <row r="28" spans="1:8" x14ac:dyDescent="0.35">
      <c r="A28" s="6">
        <v>19</v>
      </c>
      <c r="B28" s="6">
        <v>0</v>
      </c>
      <c r="C28" s="6">
        <v>3</v>
      </c>
      <c r="D28" s="6">
        <v>0</v>
      </c>
      <c r="E28" s="6">
        <v>1</v>
      </c>
      <c r="F28" s="6">
        <v>2020</v>
      </c>
      <c r="G28" s="5">
        <v>7753.5060000000003</v>
      </c>
      <c r="H28">
        <f>(($O$10) + ($O$11 * B28) + ($O$12 * C28) + ($O$13 * D28) + ($O$15 * F28))</f>
        <v>11567.473946969723</v>
      </c>
    </row>
    <row r="29" spans="1:8" x14ac:dyDescent="0.35">
      <c r="A29" s="6">
        <v>20</v>
      </c>
      <c r="B29" s="6">
        <v>0</v>
      </c>
      <c r="C29" s="6">
        <v>2</v>
      </c>
      <c r="D29" s="6">
        <v>1</v>
      </c>
      <c r="E29" s="6">
        <v>0</v>
      </c>
      <c r="F29" s="6">
        <v>2020</v>
      </c>
      <c r="G29" s="5">
        <v>50745.207999999999</v>
      </c>
      <c r="H29">
        <f>(($O$10) + ($O$11 * B29) + ($O$12 * C29) + ($O$13 * D29) + ($O$15 * F29))</f>
        <v>46688.320196969667</v>
      </c>
    </row>
    <row r="30" spans="1:8" x14ac:dyDescent="0.35">
      <c r="A30" s="6">
        <v>21</v>
      </c>
      <c r="B30" s="6">
        <v>0</v>
      </c>
      <c r="C30" s="6">
        <v>1</v>
      </c>
      <c r="D30" s="6">
        <v>0</v>
      </c>
      <c r="E30" s="6">
        <v>0</v>
      </c>
      <c r="F30" s="6">
        <v>2020</v>
      </c>
      <c r="G30" s="5">
        <v>15250.332</v>
      </c>
      <c r="H30">
        <f>(($O$10) + ($O$11 * B30) + ($O$12 * C30) + ($O$13 * D30) + ($O$15 * F30))</f>
        <v>15660.330046969699</v>
      </c>
    </row>
    <row r="31" spans="1:8" x14ac:dyDescent="0.35">
      <c r="A31" s="6">
        <v>22</v>
      </c>
      <c r="B31" s="6">
        <v>1</v>
      </c>
      <c r="C31" s="6">
        <v>3</v>
      </c>
      <c r="D31" s="6">
        <v>0</v>
      </c>
      <c r="E31" s="6">
        <v>1</v>
      </c>
      <c r="F31" s="6">
        <v>2020</v>
      </c>
      <c r="G31" s="5">
        <v>6691.3370000000004</v>
      </c>
      <c r="H31">
        <f>(($O$10) + ($O$11 * B31) + ($O$12 * C31) + ($O$13 * D31) + ($O$15 * F31))</f>
        <v>3072.321913636406</v>
      </c>
    </row>
    <row r="32" spans="1:8" x14ac:dyDescent="0.35">
      <c r="A32" s="6">
        <v>23</v>
      </c>
      <c r="B32" s="6">
        <v>1</v>
      </c>
      <c r="C32" s="6">
        <v>2</v>
      </c>
      <c r="D32" s="6">
        <v>1</v>
      </c>
      <c r="E32" s="6">
        <v>0</v>
      </c>
      <c r="F32" s="6">
        <v>2020</v>
      </c>
      <c r="G32" s="5">
        <v>34798.94</v>
      </c>
      <c r="H32">
        <f>(($O$10) + ($O$11 * B32) + ($O$12 * C32) + ($O$13 * D32) + ($O$15 * F32))</f>
        <v>38193.16816363635</v>
      </c>
    </row>
    <row r="33" spans="1:8" x14ac:dyDescent="0.35">
      <c r="A33" s="6">
        <v>24</v>
      </c>
      <c r="B33" s="6">
        <v>1</v>
      </c>
      <c r="C33" s="6">
        <v>1</v>
      </c>
      <c r="D33" s="6">
        <v>0</v>
      </c>
      <c r="E33" s="6">
        <v>0</v>
      </c>
      <c r="F33" s="6">
        <v>2020</v>
      </c>
      <c r="G33" s="5">
        <v>7377.55</v>
      </c>
      <c r="H33">
        <f>(($O$10) + ($O$11 * B33) + ($O$12 * C33) + ($O$13 * D33) + ($O$15 * F33))</f>
        <v>7165.1780136363814</v>
      </c>
    </row>
    <row r="34" spans="1:8" x14ac:dyDescent="0.35">
      <c r="A34" s="6">
        <v>25</v>
      </c>
      <c r="B34" s="6">
        <v>0</v>
      </c>
      <c r="C34" s="6">
        <v>3</v>
      </c>
      <c r="D34" s="6">
        <v>0</v>
      </c>
      <c r="E34" s="6">
        <v>1</v>
      </c>
      <c r="F34" s="6">
        <v>2019</v>
      </c>
      <c r="G34" s="5">
        <v>8266.59</v>
      </c>
      <c r="H34">
        <f>(($O$10) + ($O$11 * B34) + ($O$12 * C34) + ($O$13 * D34) + ($O$15 * F34))</f>
        <v>11232.47513181821</v>
      </c>
    </row>
    <row r="35" spans="1:8" x14ac:dyDescent="0.35">
      <c r="A35" s="6">
        <v>26</v>
      </c>
      <c r="B35" s="6">
        <v>0</v>
      </c>
      <c r="C35" s="6">
        <v>2</v>
      </c>
      <c r="D35" s="6">
        <v>1</v>
      </c>
      <c r="E35" s="6">
        <v>0</v>
      </c>
      <c r="F35" s="6">
        <v>2019</v>
      </c>
      <c r="G35" s="5">
        <v>51043.652999999998</v>
      </c>
      <c r="H35">
        <f>(($O$10) + ($O$11 * B35) + ($O$12 * C35) + ($O$13 * D35) + ($O$15 * F35))</f>
        <v>46353.321381818154</v>
      </c>
    </row>
    <row r="36" spans="1:8" x14ac:dyDescent="0.35">
      <c r="A36" s="6">
        <v>27</v>
      </c>
      <c r="B36" s="6">
        <v>0</v>
      </c>
      <c r="C36" s="6">
        <v>1</v>
      </c>
      <c r="D36" s="6">
        <v>0</v>
      </c>
      <c r="E36" s="6">
        <v>0</v>
      </c>
      <c r="F36" s="6">
        <v>2019</v>
      </c>
      <c r="G36" s="5">
        <v>15175.546</v>
      </c>
      <c r="H36">
        <f>(($O$10) + ($O$11 * B36) + ($O$12 * C36) + ($O$13 * D36) + ($O$15 * F36))</f>
        <v>15325.331231818185</v>
      </c>
    </row>
    <row r="37" spans="1:8" x14ac:dyDescent="0.35">
      <c r="A37" s="6">
        <v>28</v>
      </c>
      <c r="B37" s="6">
        <v>1</v>
      </c>
      <c r="C37" s="6">
        <v>3</v>
      </c>
      <c r="D37" s="6">
        <v>0</v>
      </c>
      <c r="E37" s="6">
        <v>1</v>
      </c>
      <c r="F37" s="6">
        <v>2019</v>
      </c>
      <c r="G37" s="5">
        <v>6684.9870000000001</v>
      </c>
      <c r="H37">
        <f>(($O$10) + ($O$11 * B37) + ($O$12 * C37) + ($O$13 * D37) + ($O$15 * F37))</f>
        <v>2737.3230984848924</v>
      </c>
    </row>
    <row r="38" spans="1:8" x14ac:dyDescent="0.35">
      <c r="A38" s="6">
        <v>29</v>
      </c>
      <c r="B38" s="6">
        <v>1</v>
      </c>
      <c r="C38" s="6">
        <v>2</v>
      </c>
      <c r="D38" s="6">
        <v>1</v>
      </c>
      <c r="E38" s="6">
        <v>0</v>
      </c>
      <c r="F38" s="6">
        <v>2019</v>
      </c>
      <c r="G38" s="5">
        <v>35303.462</v>
      </c>
      <c r="H38">
        <f>(($O$10) + ($O$11 * B38) + ($O$12 * C38) + ($O$13 * D38) + ($O$15 * F38))</f>
        <v>37858.169348484837</v>
      </c>
    </row>
    <row r="39" spans="1:8" x14ac:dyDescent="0.35">
      <c r="A39" s="6">
        <v>30</v>
      </c>
      <c r="B39" s="6">
        <v>1</v>
      </c>
      <c r="C39" s="6">
        <v>1</v>
      </c>
      <c r="D39" s="6">
        <v>0</v>
      </c>
      <c r="E39" s="6">
        <v>0</v>
      </c>
      <c r="F39" s="6">
        <v>2019</v>
      </c>
      <c r="G39" s="5">
        <v>7257.8230000000003</v>
      </c>
      <c r="H39">
        <f>(($O$10) + ($O$11 * B39) + ($O$12 * C39) + ($O$13 * D39) + ($O$15 * F39))</f>
        <v>6830.1791984848678</v>
      </c>
    </row>
    <row r="40" spans="1:8" x14ac:dyDescent="0.35">
      <c r="A40" s="6">
        <v>31</v>
      </c>
      <c r="B40" s="6">
        <v>0</v>
      </c>
      <c r="C40" s="6">
        <v>3</v>
      </c>
      <c r="D40" s="6">
        <v>0</v>
      </c>
      <c r="E40" s="6">
        <v>1</v>
      </c>
      <c r="F40" s="6">
        <v>2017</v>
      </c>
      <c r="G40" s="5">
        <v>7210.2340000000004</v>
      </c>
      <c r="H40">
        <f>(($O$10) + ($O$11 * B40) + ($O$12 * C40) + ($O$13 * D40) + ($O$15 * F40))</f>
        <v>10562.477501515183</v>
      </c>
    </row>
    <row r="41" spans="1:8" x14ac:dyDescent="0.35">
      <c r="A41" s="6">
        <v>32</v>
      </c>
      <c r="B41" s="6">
        <v>0</v>
      </c>
      <c r="C41" s="6">
        <v>2</v>
      </c>
      <c r="D41" s="6">
        <v>1</v>
      </c>
      <c r="E41" s="6">
        <v>0</v>
      </c>
      <c r="F41" s="6">
        <v>2017</v>
      </c>
      <c r="G41" s="5">
        <v>49277.485999999997</v>
      </c>
      <c r="H41">
        <f>(($O$10) + ($O$11 * B41) + ($O$12 * C41) + ($O$13 * D41) + ($O$15 * F41))</f>
        <v>45683.323751515127</v>
      </c>
    </row>
    <row r="42" spans="1:8" x14ac:dyDescent="0.35">
      <c r="A42" s="6">
        <v>33</v>
      </c>
      <c r="B42" s="6">
        <v>0</v>
      </c>
      <c r="C42" s="6">
        <v>1</v>
      </c>
      <c r="D42" s="6">
        <v>0</v>
      </c>
      <c r="E42" s="6">
        <v>0</v>
      </c>
      <c r="F42" s="6">
        <v>2017</v>
      </c>
      <c r="G42" s="5">
        <v>13909.404</v>
      </c>
      <c r="H42">
        <f>(($O$10) + ($O$11 * B42) + ($O$12 * C42) + ($O$13 * D42) + ($O$15 * F42))</f>
        <v>14655.333601515158</v>
      </c>
    </row>
    <row r="43" spans="1:8" x14ac:dyDescent="0.35">
      <c r="A43" s="6">
        <v>34</v>
      </c>
      <c r="B43" s="6">
        <v>1</v>
      </c>
      <c r="C43" s="6">
        <v>3</v>
      </c>
      <c r="D43" s="6">
        <v>0</v>
      </c>
      <c r="E43" s="6">
        <v>1</v>
      </c>
      <c r="F43" s="6">
        <v>2017</v>
      </c>
      <c r="G43" s="5">
        <v>5970.0360000000001</v>
      </c>
      <c r="H43">
        <f>(($O$10) + ($O$11 * B43) + ($O$12 * C43) + ($O$13 * D43) + ($O$15 * F43))</f>
        <v>2067.3254681818653</v>
      </c>
    </row>
    <row r="44" spans="1:8" x14ac:dyDescent="0.35">
      <c r="A44" s="6">
        <v>35</v>
      </c>
      <c r="B44" s="6">
        <v>1</v>
      </c>
      <c r="C44" s="6">
        <v>2</v>
      </c>
      <c r="D44" s="6">
        <v>1</v>
      </c>
      <c r="E44" s="6">
        <v>0</v>
      </c>
      <c r="F44" s="6">
        <v>2017</v>
      </c>
      <c r="G44" s="5">
        <v>33099.213000000003</v>
      </c>
      <c r="H44">
        <f>(($O$10) + ($O$11 * B44) + ($O$12 * C44) + ($O$13 * D44) + ($O$15 * F44))</f>
        <v>37188.171718181809</v>
      </c>
    </row>
    <row r="45" spans="1:8" x14ac:dyDescent="0.35">
      <c r="A45" s="6">
        <v>36</v>
      </c>
      <c r="B45" s="6">
        <v>1</v>
      </c>
      <c r="C45" s="6">
        <v>1</v>
      </c>
      <c r="D45" s="6">
        <v>0</v>
      </c>
      <c r="E45" s="6">
        <v>0</v>
      </c>
      <c r="F45" s="6">
        <v>2017</v>
      </c>
      <c r="G45" s="5">
        <v>6624.2659999999996</v>
      </c>
      <c r="H45">
        <f>(($O$10) + ($O$11 * B45) + ($O$12 * C45) + ($O$13 * D45) + ($O$15 * F45))</f>
        <v>6160.1815681818407</v>
      </c>
    </row>
    <row r="46" spans="1:8" x14ac:dyDescent="0.35">
      <c r="A46" s="6">
        <v>37</v>
      </c>
      <c r="B46" s="6">
        <v>0</v>
      </c>
      <c r="C46" s="6">
        <v>3</v>
      </c>
      <c r="D46" s="6">
        <v>0</v>
      </c>
      <c r="E46" s="6">
        <v>1</v>
      </c>
      <c r="F46" s="6">
        <v>2016</v>
      </c>
      <c r="G46" s="5">
        <v>7496.27</v>
      </c>
      <c r="H46">
        <f>(($O$10) + ($O$11 * B46) + ($O$12 * C46) + ($O$13 * D46) + ($O$15 * F46))</f>
        <v>10227.478686363669</v>
      </c>
    </row>
    <row r="47" spans="1:8" x14ac:dyDescent="0.35">
      <c r="A47" s="6">
        <v>38</v>
      </c>
      <c r="B47" s="6">
        <v>0</v>
      </c>
      <c r="C47" s="6">
        <v>2</v>
      </c>
      <c r="D47" s="6">
        <v>1</v>
      </c>
      <c r="E47" s="6">
        <v>0</v>
      </c>
      <c r="F47" s="6">
        <v>2016</v>
      </c>
      <c r="G47" s="5">
        <v>47713.982000000004</v>
      </c>
      <c r="H47">
        <f>(($O$10) + ($O$11 * B47) + ($O$12 * C47) + ($O$13 * D47) + ($O$15 * F47))</f>
        <v>45348.324936363613</v>
      </c>
    </row>
    <row r="48" spans="1:8" x14ac:dyDescent="0.35">
      <c r="A48" s="6">
        <v>39</v>
      </c>
      <c r="B48" s="6">
        <v>0</v>
      </c>
      <c r="C48" s="6">
        <v>1</v>
      </c>
      <c r="D48" s="6">
        <v>0</v>
      </c>
      <c r="E48" s="6">
        <v>0</v>
      </c>
      <c r="F48" s="6">
        <v>2016</v>
      </c>
      <c r="G48" s="5">
        <v>13301.785</v>
      </c>
      <c r="H48">
        <f>(($O$10) + ($O$11 * B48) + ($O$12 * C48) + ($O$13 * D48) + ($O$15 * F48))</f>
        <v>14320.334786363645</v>
      </c>
    </row>
    <row r="49" spans="1:8" x14ac:dyDescent="0.35">
      <c r="A49" s="6">
        <v>40</v>
      </c>
      <c r="B49" s="6">
        <v>1</v>
      </c>
      <c r="C49" s="6">
        <v>3</v>
      </c>
      <c r="D49" s="6">
        <v>0</v>
      </c>
      <c r="E49" s="6">
        <v>1</v>
      </c>
      <c r="F49" s="6">
        <v>2016</v>
      </c>
      <c r="G49" s="5">
        <v>7055.7160000000003</v>
      </c>
      <c r="H49">
        <f>(($O$10) + ($O$11 * B49) + ($O$12 * C49) + ($O$13 * D49) + ($O$15 * F49))</f>
        <v>1732.3266530303517</v>
      </c>
    </row>
    <row r="50" spans="1:8" x14ac:dyDescent="0.35">
      <c r="A50" s="6">
        <v>41</v>
      </c>
      <c r="B50" s="6">
        <v>1</v>
      </c>
      <c r="C50" s="6">
        <v>2</v>
      </c>
      <c r="D50" s="6">
        <v>1</v>
      </c>
      <c r="E50" s="6">
        <v>0</v>
      </c>
      <c r="F50" s="6">
        <v>2016</v>
      </c>
      <c r="G50" s="5">
        <v>30207.173999999999</v>
      </c>
      <c r="H50">
        <f>(($O$10) + ($O$11 * B50) + ($O$12 * C50) + ($O$13 * D50) + ($O$15 * F50))</f>
        <v>36853.172903030296</v>
      </c>
    </row>
    <row r="51" spans="1:8" x14ac:dyDescent="0.35">
      <c r="A51" s="6">
        <v>42</v>
      </c>
      <c r="B51" s="6">
        <v>1</v>
      </c>
      <c r="C51" s="6">
        <v>1</v>
      </c>
      <c r="D51" s="6">
        <v>0</v>
      </c>
      <c r="E51" s="6">
        <v>0</v>
      </c>
      <c r="F51" s="6">
        <v>2016</v>
      </c>
      <c r="G51" s="5">
        <v>6784.6360000000004</v>
      </c>
      <c r="H51">
        <f>(($O$10) + ($O$11 * B51) + ($O$12 * C51) + ($O$13 * D51) + ($O$15 * F51))</f>
        <v>5825.1827530303271</v>
      </c>
    </row>
    <row r="52" spans="1:8" x14ac:dyDescent="0.35">
      <c r="A52" s="6">
        <v>43</v>
      </c>
      <c r="B52" s="6">
        <v>0</v>
      </c>
      <c r="C52" s="6">
        <v>3</v>
      </c>
      <c r="D52" s="6">
        <v>0</v>
      </c>
      <c r="E52" s="6">
        <v>1</v>
      </c>
      <c r="F52" s="6">
        <v>2015</v>
      </c>
      <c r="G52" s="5">
        <v>6260.3050000000003</v>
      </c>
      <c r="H52">
        <f>(($O$10) + ($O$11 * B52) + ($O$12 * C52) + ($O$13 * D52) + ($O$15 * F52))</f>
        <v>9892.4798712121556</v>
      </c>
    </row>
    <row r="53" spans="1:8" x14ac:dyDescent="0.35">
      <c r="A53" s="6">
        <v>44</v>
      </c>
      <c r="B53" s="6">
        <v>0</v>
      </c>
      <c r="C53" s="6">
        <v>2</v>
      </c>
      <c r="D53" s="6">
        <v>1</v>
      </c>
      <c r="E53" s="6">
        <v>0</v>
      </c>
      <c r="F53" s="6">
        <v>2015</v>
      </c>
      <c r="G53" s="5">
        <v>48491.731</v>
      </c>
      <c r="H53">
        <f>(($O$10) + ($O$11 * B53) + ($O$12 * C53) + ($O$13 * D53) + ($O$15 * F53))</f>
        <v>45013.3261212121</v>
      </c>
    </row>
    <row r="54" spans="1:8" x14ac:dyDescent="0.35">
      <c r="A54" s="6">
        <v>45</v>
      </c>
      <c r="B54" s="6">
        <v>0</v>
      </c>
      <c r="C54" s="6">
        <v>1</v>
      </c>
      <c r="D54" s="6">
        <v>0</v>
      </c>
      <c r="E54" s="6">
        <v>0</v>
      </c>
      <c r="F54" s="6">
        <v>2015</v>
      </c>
      <c r="G54" s="5">
        <v>13992.143</v>
      </c>
      <c r="H54">
        <f>(($O$10) + ($O$11 * B54) + ($O$12 * C54) + ($O$13 * D54) + ($O$15 * F54))</f>
        <v>13985.335971212131</v>
      </c>
    </row>
    <row r="55" spans="1:8" x14ac:dyDescent="0.35">
      <c r="A55" s="6">
        <v>46</v>
      </c>
      <c r="B55" s="6">
        <v>1</v>
      </c>
      <c r="C55" s="6">
        <v>3</v>
      </c>
      <c r="D55" s="6">
        <v>0</v>
      </c>
      <c r="E55" s="6">
        <v>1</v>
      </c>
      <c r="F55" s="6">
        <v>2015</v>
      </c>
      <c r="G55" s="5">
        <v>5137.0940000000001</v>
      </c>
      <c r="H55">
        <f>(($O$10) + ($O$11 * B55) + ($O$12 * C55) + ($O$13 * D55) + ($O$15 * F55))</f>
        <v>1397.3278378788382</v>
      </c>
    </row>
    <row r="56" spans="1:8" x14ac:dyDescent="0.35">
      <c r="A56" s="6">
        <v>47</v>
      </c>
      <c r="B56" s="6">
        <v>1</v>
      </c>
      <c r="C56" s="6">
        <v>2</v>
      </c>
      <c r="D56" s="6">
        <v>1</v>
      </c>
      <c r="E56" s="6">
        <v>0</v>
      </c>
      <c r="F56" s="6">
        <v>2015</v>
      </c>
      <c r="G56" s="5">
        <v>31624.342000000001</v>
      </c>
      <c r="H56">
        <f>(($O$10) + ($O$11 * B56) + ($O$12 * C56) + ($O$13 * D56) + ($O$15 * F56))</f>
        <v>36518.174087878782</v>
      </c>
    </row>
    <row r="57" spans="1:8" x14ac:dyDescent="0.35">
      <c r="A57" s="6">
        <v>48</v>
      </c>
      <c r="B57" s="6">
        <v>1</v>
      </c>
      <c r="C57" s="6">
        <v>1</v>
      </c>
      <c r="D57" s="6">
        <v>0</v>
      </c>
      <c r="E57" s="6">
        <v>0</v>
      </c>
      <c r="F57" s="6">
        <v>2015</v>
      </c>
      <c r="G57" s="5">
        <v>6213.326</v>
      </c>
      <c r="H57">
        <f>(($O$10) + ($O$11 * B57) + ($O$12 * C57) + ($O$13 * D57) + ($O$15 * F57))</f>
        <v>5490.1839378788136</v>
      </c>
    </row>
    <row r="58" spans="1:8" x14ac:dyDescent="0.35">
      <c r="A58" s="6">
        <v>49</v>
      </c>
      <c r="B58" s="6">
        <v>0</v>
      </c>
      <c r="C58" s="6">
        <v>3</v>
      </c>
      <c r="D58" s="6">
        <v>0</v>
      </c>
      <c r="E58" s="6">
        <v>1</v>
      </c>
      <c r="F58" s="6">
        <v>2014</v>
      </c>
      <c r="G58" s="5">
        <v>5856.9459999999999</v>
      </c>
      <c r="H58">
        <f>(($O$10) + ($O$11 * B58) + ($O$12 * C58) + ($O$13 * D58) + ($O$15 * F58))</f>
        <v>9557.481056060642</v>
      </c>
    </row>
    <row r="59" spans="1:8" x14ac:dyDescent="0.35">
      <c r="A59" s="6">
        <v>50</v>
      </c>
      <c r="B59" s="6">
        <v>0</v>
      </c>
      <c r="C59" s="6">
        <v>2</v>
      </c>
      <c r="D59" s="6">
        <v>1</v>
      </c>
      <c r="E59" s="6">
        <v>0</v>
      </c>
      <c r="F59" s="6">
        <v>2014</v>
      </c>
      <c r="G59" s="5">
        <v>49465.315000000002</v>
      </c>
      <c r="H59">
        <f>(($O$10) + ($O$11 * B59) + ($O$12 * C59) + ($O$13 * D59) + ($O$15 * F59))</f>
        <v>44678.327306060586</v>
      </c>
    </row>
    <row r="60" spans="1:8" x14ac:dyDescent="0.35">
      <c r="A60" s="6">
        <v>51</v>
      </c>
      <c r="B60" s="6">
        <v>0</v>
      </c>
      <c r="C60" s="6">
        <v>1</v>
      </c>
      <c r="D60" s="6">
        <v>0</v>
      </c>
      <c r="E60" s="6">
        <v>0</v>
      </c>
      <c r="F60" s="6">
        <v>2014</v>
      </c>
      <c r="G60" s="5">
        <v>12882.967000000001</v>
      </c>
      <c r="H60">
        <f>(($O$10) + ($O$11 * B60) + ($O$12 * C60) + ($O$13 * D60) + ($O$15 * F60))</f>
        <v>13650.337156060617</v>
      </c>
    </row>
    <row r="61" spans="1:8" x14ac:dyDescent="0.35">
      <c r="A61" s="6">
        <v>52</v>
      </c>
      <c r="B61" s="6">
        <v>1</v>
      </c>
      <c r="C61" s="6">
        <v>3</v>
      </c>
      <c r="D61" s="6">
        <v>0</v>
      </c>
      <c r="E61" s="6">
        <v>1</v>
      </c>
      <c r="F61" s="6">
        <v>2014</v>
      </c>
      <c r="G61" s="5">
        <v>4854.3850000000002</v>
      </c>
      <c r="H61">
        <f>(($O$10) + ($O$11 * B61) + ($O$12 * C61) + ($O$13 * D61) + ($O$15 * F61))</f>
        <v>1062.3290227273246</v>
      </c>
    </row>
    <row r="62" spans="1:8" x14ac:dyDescent="0.35">
      <c r="A62" s="6">
        <v>53</v>
      </c>
      <c r="B62" s="6">
        <v>1</v>
      </c>
      <c r="C62" s="6">
        <v>2</v>
      </c>
      <c r="D62" s="6">
        <v>1</v>
      </c>
      <c r="E62" s="6">
        <v>0</v>
      </c>
      <c r="F62" s="6">
        <v>2014</v>
      </c>
      <c r="G62" s="5">
        <v>31999.760999999999</v>
      </c>
      <c r="H62">
        <f>(($O$10) + ($O$11 * B62) + ($O$12 * C62) + ($O$13 * D62) + ($O$15 * F62))</f>
        <v>36183.175272727269</v>
      </c>
    </row>
    <row r="63" spans="1:8" x14ac:dyDescent="0.35">
      <c r="A63" s="6">
        <v>54</v>
      </c>
      <c r="B63" s="6">
        <v>1</v>
      </c>
      <c r="C63" s="6">
        <v>1</v>
      </c>
      <c r="D63" s="6">
        <v>0</v>
      </c>
      <c r="E63" s="6">
        <v>0</v>
      </c>
      <c r="F63" s="6">
        <v>2014</v>
      </c>
      <c r="G63" s="5">
        <v>5609.5839999999998</v>
      </c>
      <c r="H63">
        <f>(($O$10) + ($O$11 * B63) + ($O$12 * C63) + ($O$13 * D63) + ($O$15 * F63))</f>
        <v>5155.1851227273</v>
      </c>
    </row>
    <row r="64" spans="1:8" x14ac:dyDescent="0.35">
      <c r="A64" s="6">
        <v>55</v>
      </c>
      <c r="B64" s="6">
        <v>0</v>
      </c>
      <c r="C64" s="6">
        <v>3</v>
      </c>
      <c r="D64" s="6">
        <v>0</v>
      </c>
      <c r="E64" s="6">
        <v>1</v>
      </c>
      <c r="F64" s="6">
        <v>2013</v>
      </c>
      <c r="G64" s="5">
        <v>5735.3890000000001</v>
      </c>
      <c r="H64">
        <f>(($O$10) + ($O$11 * B64) + ($O$12 * C64) + ($O$13 * D64) + ($O$15 * F64))</f>
        <v>9222.4822409091284</v>
      </c>
    </row>
    <row r="65" spans="1:8" x14ac:dyDescent="0.35">
      <c r="A65" s="6">
        <v>56</v>
      </c>
      <c r="B65" s="6">
        <v>0</v>
      </c>
      <c r="C65" s="6">
        <v>2</v>
      </c>
      <c r="D65" s="6">
        <v>1</v>
      </c>
      <c r="E65" s="6">
        <v>0</v>
      </c>
      <c r="F65" s="6">
        <v>2013</v>
      </c>
      <c r="G65" s="5">
        <v>49225.752</v>
      </c>
      <c r="H65">
        <f>(($O$10) + ($O$11 * B65) + ($O$12 * C65) + ($O$13 * D65) + ($O$15 * F65))</f>
        <v>44343.328490909073</v>
      </c>
    </row>
    <row r="66" spans="1:8" x14ac:dyDescent="0.35">
      <c r="A66" s="6">
        <v>57</v>
      </c>
      <c r="B66" s="6">
        <v>0</v>
      </c>
      <c r="C66" s="6">
        <v>1</v>
      </c>
      <c r="D66" s="6">
        <v>0</v>
      </c>
      <c r="E66" s="6">
        <v>0</v>
      </c>
      <c r="F66" s="6">
        <v>2013</v>
      </c>
      <c r="G66" s="5">
        <v>12189.418</v>
      </c>
      <c r="H66">
        <f>(($O$10) + ($O$11 * B66) + ($O$12 * C66) + ($O$13 * D66) + ($O$15 * F66))</f>
        <v>13315.338340909104</v>
      </c>
    </row>
    <row r="67" spans="1:8" x14ac:dyDescent="0.35">
      <c r="A67" s="6">
        <v>58</v>
      </c>
      <c r="B67" s="6">
        <v>1</v>
      </c>
      <c r="C67" s="6">
        <v>3</v>
      </c>
      <c r="D67" s="6">
        <v>0</v>
      </c>
      <c r="E67" s="6">
        <v>1</v>
      </c>
      <c r="F67" s="6">
        <v>2013</v>
      </c>
      <c r="G67" s="5">
        <v>4577.366</v>
      </c>
      <c r="H67">
        <f>(($O$10) + ($O$11 * B67) + ($O$12 * C67) + ($O$13 * D67) + ($O$15 * F67))</f>
        <v>727.33020757581107</v>
      </c>
    </row>
    <row r="68" spans="1:8" x14ac:dyDescent="0.35">
      <c r="A68" s="6">
        <v>59</v>
      </c>
      <c r="B68" s="6">
        <v>1</v>
      </c>
      <c r="C68" s="6">
        <v>2</v>
      </c>
      <c r="D68" s="6">
        <v>1</v>
      </c>
      <c r="E68" s="6">
        <v>0</v>
      </c>
      <c r="F68" s="6">
        <v>2013</v>
      </c>
      <c r="G68" s="5">
        <v>31708.381000000001</v>
      </c>
      <c r="H68">
        <f>(($O$10) + ($O$11 * B68) + ($O$12 * C68) + ($O$13 * D68) + ($O$15 * F68))</f>
        <v>35848.176457575755</v>
      </c>
    </row>
    <row r="69" spans="1:8" x14ac:dyDescent="0.35">
      <c r="A69" s="6">
        <v>60</v>
      </c>
      <c r="B69" s="6">
        <v>1</v>
      </c>
      <c r="C69" s="6">
        <v>1</v>
      </c>
      <c r="D69" s="6">
        <v>0</v>
      </c>
      <c r="E69" s="6">
        <v>0</v>
      </c>
      <c r="F69" s="6">
        <v>2013</v>
      </c>
      <c r="G69" s="5">
        <v>5431.6109999999999</v>
      </c>
      <c r="H69">
        <f>(($O$10) + ($O$11 * B69) + ($O$12 * C69) + ($O$13 * D69) + ($O$15 * F69))</f>
        <v>4820.1863075757865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Data Cleaning</vt:lpstr>
      <vt:lpstr>Master Data</vt:lpstr>
      <vt:lpstr>Test Calculation</vt:lpstr>
      <vt:lpstr>Test Calculation 2</vt:lpstr>
      <vt:lpstr>Observations</vt:lpstr>
      <vt:lpstr>R Square" &amp; "Multiple R</vt:lpstr>
      <vt:lpstr>Adjusted R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Richard Vincentius</cp:lastModifiedBy>
  <dcterms:created xsi:type="dcterms:W3CDTF">2026-06-04T02:50:57Z</dcterms:created>
  <dcterms:modified xsi:type="dcterms:W3CDTF">2026-06-05T14:00:03Z</dcterms:modified>
</cp:coreProperties>
</file>