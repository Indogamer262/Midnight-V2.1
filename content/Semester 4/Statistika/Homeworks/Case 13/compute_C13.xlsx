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866855f1fd88c86/Vault Obsidian/Obsidian/Catatan Kuliah/Statistika/Homeworks/Case 13/"/>
    </mc:Choice>
  </mc:AlternateContent>
  <xr:revisionPtr revIDLastSave="406" documentId="11_F25DC773A252ABDACC104849F95E55565BDE58F9" xr6:coauthVersionLast="47" xr6:coauthVersionMax="47" xr10:uidLastSave="{B4B1AE1C-29B8-46F0-8E48-CF44E7C6ACB5}"/>
  <bookViews>
    <workbookView xWindow="8775" yWindow="1485" windowWidth="19800" windowHeight="126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7" i="1" l="1"/>
  <c r="AQ16" i="1"/>
  <c r="AN21" i="1"/>
  <c r="AN20" i="1"/>
  <c r="AN19" i="1"/>
  <c r="AN17" i="1"/>
  <c r="AN16" i="1" a="1"/>
  <c r="AN16" i="1"/>
  <c r="AK20" i="1"/>
  <c r="AK16" i="1"/>
  <c r="AO6" i="1"/>
  <c r="AP6" i="1"/>
  <c r="AO7" i="1"/>
  <c r="AP7" i="1"/>
  <c r="AO8" i="1"/>
  <c r="AP8" i="1"/>
  <c r="AO9" i="1"/>
  <c r="AP9" i="1"/>
  <c r="AO10" i="1"/>
  <c r="AP10" i="1"/>
  <c r="AO11" i="1"/>
  <c r="AP11" i="1"/>
  <c r="AO12" i="1"/>
  <c r="AP12" i="1"/>
  <c r="AO13" i="1"/>
  <c r="AP13" i="1"/>
  <c r="AO14" i="1"/>
  <c r="AP14" i="1"/>
  <c r="AP5" i="1"/>
  <c r="AO5" i="1"/>
  <c r="AA16" i="1"/>
  <c r="AG6" i="1"/>
  <c r="AH6" i="1"/>
  <c r="AG7" i="1"/>
  <c r="AH7" i="1"/>
  <c r="AG8" i="1"/>
  <c r="AH8" i="1"/>
  <c r="AG9" i="1"/>
  <c r="AH9" i="1"/>
  <c r="AG10" i="1"/>
  <c r="AH10" i="1"/>
  <c r="AH5" i="1"/>
  <c r="AG5" i="1"/>
  <c r="AA12" i="1"/>
  <c r="O12" i="1" a="1"/>
  <c r="O12" i="1"/>
  <c r="O13" i="1"/>
  <c r="W5" i="1"/>
  <c r="L27" i="1"/>
  <c r="R13" i="1"/>
  <c r="L16" i="1"/>
  <c r="L15" i="1"/>
  <c r="L26" i="1" s="1"/>
  <c r="L14" i="1"/>
  <c r="L12" i="1"/>
  <c r="W8" i="1"/>
  <c r="X8" i="1"/>
  <c r="W9" i="1"/>
  <c r="X9" i="1"/>
  <c r="W10" i="1"/>
  <c r="X10" i="1"/>
  <c r="X7" i="1"/>
  <c r="W7" i="1"/>
  <c r="X6" i="1"/>
  <c r="W6" i="1"/>
  <c r="X5" i="1"/>
  <c r="E26" i="1"/>
  <c r="C27" i="1"/>
  <c r="F10" i="1"/>
  <c r="F9" i="1" a="1"/>
  <c r="F9" i="1" s="1"/>
  <c r="E25" i="1" s="1"/>
  <c r="F13" i="1"/>
  <c r="D26" i="1" s="1"/>
  <c r="C25" i="1"/>
  <c r="C13" i="1"/>
  <c r="C12" i="1"/>
  <c r="I10" i="1" s="1"/>
  <c r="C11" i="1"/>
  <c r="H7" i="1"/>
  <c r="H6" i="1"/>
  <c r="H5" i="1"/>
  <c r="I7" i="1"/>
  <c r="I6" i="1"/>
  <c r="I5" i="1"/>
  <c r="C26" i="1" l="1"/>
  <c r="AK18" i="1"/>
  <c r="AK19" i="1"/>
  <c r="AK26" i="1" s="1"/>
  <c r="AK27" i="1"/>
  <c r="AA14" i="1"/>
  <c r="AA15" i="1"/>
  <c r="AA26" i="1" s="1"/>
  <c r="AA27" i="1"/>
  <c r="O15" i="1"/>
  <c r="O17" i="1" s="1"/>
  <c r="O16" i="1"/>
  <c r="R12" i="1"/>
  <c r="L25" i="1"/>
  <c r="M26" i="1"/>
  <c r="I9" i="1"/>
  <c r="F25" i="1" s="1"/>
  <c r="F12" i="1"/>
  <c r="F14" i="1" l="1"/>
  <c r="D27" i="1" s="1"/>
  <c r="D25" i="1"/>
  <c r="AK25" i="1"/>
  <c r="AG13" i="1"/>
  <c r="AA25" i="1"/>
  <c r="N26" i="1"/>
  <c r="N25" i="1"/>
  <c r="O25" i="1"/>
  <c r="M25" i="1" l="1"/>
  <c r="M27" i="1"/>
  <c r="AD16" i="1"/>
  <c r="AB26" i="1" s="1"/>
  <c r="AD13" i="1"/>
  <c r="AC26" i="1" s="1"/>
  <c r="AD12" i="1" a="1"/>
  <c r="AD12" i="1" s="1"/>
  <c r="AC25" i="1" l="1"/>
  <c r="AD15" i="1"/>
  <c r="AG12" i="1"/>
  <c r="AD25" i="1" s="1"/>
  <c r="AD17" i="1" l="1"/>
  <c r="AB27" i="1" s="1"/>
  <c r="AB25" i="1"/>
  <c r="AL26" i="1"/>
  <c r="AM26" i="1" l="1"/>
  <c r="AM25" i="1"/>
  <c r="AN25" i="1"/>
  <c r="AL25" i="1" l="1"/>
  <c r="AL2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<sst xmlns="http://schemas.openxmlformats.org/spreadsheetml/2006/main" count="108" uniqueCount="31">
  <si>
    <t>Data</t>
  </si>
  <si>
    <t>Sample Mean</t>
  </si>
  <si>
    <t>Sample Variance</t>
  </si>
  <si>
    <t>i</t>
  </si>
  <si>
    <t>SOAL 1</t>
  </si>
  <si>
    <t xml:space="preserve">J = </t>
  </si>
  <si>
    <t>v1 =</t>
  </si>
  <si>
    <t>v2 =</t>
  </si>
  <si>
    <t>grand-m =</t>
  </si>
  <si>
    <t>MSTr =</t>
  </si>
  <si>
    <t>MSE =</t>
  </si>
  <si>
    <t>SSTr =</t>
  </si>
  <si>
    <t>SSE =</t>
  </si>
  <si>
    <t>SST =</t>
  </si>
  <si>
    <t>f=</t>
  </si>
  <si>
    <t>F=</t>
  </si>
  <si>
    <t>significance</t>
  </si>
  <si>
    <t>ANOVA TABLE</t>
  </si>
  <si>
    <t>Source of Variation</t>
  </si>
  <si>
    <t>df</t>
  </si>
  <si>
    <t>Mean square</t>
  </si>
  <si>
    <t>Sum of Squares</t>
  </si>
  <si>
    <t>f</t>
  </si>
  <si>
    <t>Treatments</t>
  </si>
  <si>
    <t>Error</t>
  </si>
  <si>
    <t>Total</t>
  </si>
  <si>
    <t>SOAL 2</t>
  </si>
  <si>
    <t>I=</t>
  </si>
  <si>
    <t>SOAL 3</t>
  </si>
  <si>
    <t>SOAL 4</t>
  </si>
  <si>
    <t>I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</si>
</sst>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/>
    </xf>
    <xf numFmtId="10" fontId="0" fillId="0" borderId="0" xfId="1" applyNumberFormat="1" applyFont="1"/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2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Q27"/>
  <sheetViews>
    <sheetView showGridLines="0" tabSelected="1" topLeftCell="AB1" zoomScaleNormal="100" workbookViewId="0">
      <selection activeCell="AI1" sqref="AI1:AQ22"/>
    </sheetView>
  </sheetViews>
  <sheetFormatPr defaultRowHeight="15" x14ac:dyDescent="0.25"/>
  <cols>
    <col min="1" max="1" width="7.5703125" customWidth="1"/>
    <col min="2" max="2" width="10.7109375" customWidth="1"/>
    <col min="8" max="8" width="13.140625" customWidth="1"/>
    <col min="9" max="9" width="15.5703125" customWidth="1"/>
    <col min="11" max="11" width="11.42578125" bestFit="1" customWidth="1"/>
    <col min="17" max="17" width="9.85546875" customWidth="1"/>
    <col min="18" max="18" width="10.85546875" customWidth="1"/>
    <col min="23" max="23" width="13.28515625" bestFit="1" customWidth="1"/>
    <col min="24" max="24" width="15.85546875" bestFit="1" customWidth="1"/>
    <col min="26" max="26" width="11.42578125" bestFit="1" customWidth="1"/>
    <col min="33" max="33" width="13.28515625" bestFit="1" customWidth="1"/>
    <col min="34" max="34" width="15.85546875" bestFit="1" customWidth="1"/>
    <col min="36" max="36" width="11.42578125" bestFit="1" customWidth="1"/>
    <col min="41" max="41" width="13.28515625" bestFit="1" customWidth="1"/>
    <col min="42" max="42" width="15.85546875" bestFit="1" customWidth="1"/>
    <col min="43" max="43" width="13.28515625" bestFit="1" customWidth="1"/>
    <col min="44" max="44" width="15.85546875" bestFit="1" customWidth="1"/>
  </cols>
  <sheetData>
    <row r="2" spans="2:43" ht="17.25" customHeight="1" x14ac:dyDescent="0.25">
      <c r="B2" s="22" t="s">
        <v>4</v>
      </c>
      <c r="C2" s="22"/>
      <c r="D2" s="22"/>
      <c r="E2" s="22"/>
      <c r="F2" s="22"/>
      <c r="G2" s="22"/>
      <c r="H2" s="22"/>
      <c r="I2" s="22"/>
      <c r="K2" s="22" t="s">
        <v>26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Z2" s="20" t="s">
        <v>28</v>
      </c>
      <c r="AA2" s="20"/>
      <c r="AB2" s="20"/>
      <c r="AC2" s="20"/>
      <c r="AD2" s="20"/>
      <c r="AE2" s="20"/>
      <c r="AF2" s="20"/>
      <c r="AG2" s="20"/>
      <c r="AH2" s="20"/>
      <c r="AJ2" s="20" t="s">
        <v>29</v>
      </c>
      <c r="AK2" s="20"/>
      <c r="AL2" s="20"/>
      <c r="AM2" s="20"/>
      <c r="AN2" s="20"/>
      <c r="AO2" s="20"/>
      <c r="AP2" s="20"/>
      <c r="AQ2" s="20"/>
    </row>
    <row r="4" spans="2:43" ht="15.75" customHeight="1" x14ac:dyDescent="0.25">
      <c r="B4" s="3" t="s">
        <v>3</v>
      </c>
      <c r="C4" s="19" t="s">
        <v>0</v>
      </c>
      <c r="D4" s="19"/>
      <c r="E4" s="19"/>
      <c r="F4" s="19"/>
      <c r="G4" s="21"/>
      <c r="H4" s="2" t="s">
        <v>1</v>
      </c>
      <c r="I4" s="2" t="s">
        <v>2</v>
      </c>
      <c r="K4" s="3" t="s">
        <v>3</v>
      </c>
      <c r="L4" s="18" t="s">
        <v>0</v>
      </c>
      <c r="M4" s="19"/>
      <c r="N4" s="19"/>
      <c r="O4" s="19"/>
      <c r="P4" s="19"/>
      <c r="Q4" s="19"/>
      <c r="R4" s="19"/>
      <c r="S4" s="19"/>
      <c r="T4" s="19"/>
      <c r="U4" s="19"/>
      <c r="V4" s="21"/>
      <c r="W4" s="2" t="s">
        <v>1</v>
      </c>
      <c r="X4" s="2" t="s">
        <v>2</v>
      </c>
      <c r="Z4" s="3" t="s">
        <v>3</v>
      </c>
      <c r="AA4" s="18" t="s">
        <v>0</v>
      </c>
      <c r="AB4" s="19"/>
      <c r="AC4" s="19"/>
      <c r="AD4" s="19"/>
      <c r="AE4" s="19"/>
      <c r="AF4" s="19"/>
      <c r="AG4" s="15" t="s">
        <v>1</v>
      </c>
      <c r="AH4" s="2" t="s">
        <v>2</v>
      </c>
      <c r="AJ4" s="3" t="s">
        <v>3</v>
      </c>
      <c r="AK4" s="18" t="s">
        <v>0</v>
      </c>
      <c r="AL4" s="19"/>
      <c r="AM4" s="19"/>
      <c r="AN4" s="19"/>
      <c r="AO4" s="15" t="s">
        <v>1</v>
      </c>
      <c r="AP4" s="2" t="s">
        <v>2</v>
      </c>
    </row>
    <row r="5" spans="2:43" x14ac:dyDescent="0.25">
      <c r="B5" s="4">
        <v>1</v>
      </c>
      <c r="C5" s="1">
        <v>0.56000000000000005</v>
      </c>
      <c r="D5" s="1">
        <v>1.1200000000000001</v>
      </c>
      <c r="E5" s="1">
        <v>0.9</v>
      </c>
      <c r="F5" s="1">
        <v>1.07</v>
      </c>
      <c r="G5" s="4">
        <v>0.94</v>
      </c>
      <c r="H5" s="7">
        <f>AVERAGE(C5:G5)</f>
        <v>0.91799999999999993</v>
      </c>
      <c r="I5" s="1">
        <f>_xlfn.VAR.S(C5:G5)</f>
        <v>4.821999999999993E-2</v>
      </c>
      <c r="K5" s="4">
        <v>1</v>
      </c>
      <c r="L5" s="1">
        <v>5</v>
      </c>
      <c r="M5" s="1">
        <v>2</v>
      </c>
      <c r="N5" s="1">
        <v>5</v>
      </c>
      <c r="O5" s="1">
        <v>4</v>
      </c>
      <c r="P5" s="7">
        <v>4</v>
      </c>
      <c r="Q5" s="7">
        <v>4</v>
      </c>
      <c r="R5" s="7">
        <v>2</v>
      </c>
      <c r="S5" s="7">
        <v>5</v>
      </c>
      <c r="T5" s="7">
        <v>7</v>
      </c>
      <c r="U5" s="7">
        <v>3</v>
      </c>
      <c r="V5" s="4">
        <v>5</v>
      </c>
      <c r="W5" s="7">
        <f>AVERAGE(L5:V5)</f>
        <v>4.1818181818181817</v>
      </c>
      <c r="X5" s="1">
        <f>_xlfn.VAR.S(L5:V5)</f>
        <v>2.1636363636363627</v>
      </c>
      <c r="Z5" s="4">
        <v>1</v>
      </c>
      <c r="AA5" s="1">
        <v>963</v>
      </c>
      <c r="AB5" s="1">
        <v>965</v>
      </c>
      <c r="AC5" s="1">
        <v>928</v>
      </c>
      <c r="AD5" s="1">
        <v>1001</v>
      </c>
      <c r="AE5" s="7">
        <v>1066</v>
      </c>
      <c r="AF5" s="7">
        <v>927</v>
      </c>
      <c r="AG5" s="25">
        <f>AVERAGE(AA5:AF5)</f>
        <v>975</v>
      </c>
      <c r="AH5" s="1">
        <f>_xlfn.VAR.S(AA5:AF5)</f>
        <v>2742.8</v>
      </c>
      <c r="AJ5" s="4">
        <v>1</v>
      </c>
      <c r="AK5" s="1">
        <v>2.1</v>
      </c>
      <c r="AL5" s="1">
        <v>2.5</v>
      </c>
      <c r="AM5" s="1">
        <v>2.8</v>
      </c>
      <c r="AN5" s="1">
        <v>2</v>
      </c>
      <c r="AO5" s="25">
        <f>AVERAGE(AK5:AN5)</f>
        <v>2.3499999999999996</v>
      </c>
      <c r="AP5" s="1">
        <f>_xlfn.VAR.S(AK5:AN5)</f>
        <v>0.13666666666666907</v>
      </c>
    </row>
    <row r="6" spans="2:43" x14ac:dyDescent="0.25">
      <c r="B6" s="4">
        <v>2</v>
      </c>
      <c r="C6" s="5">
        <v>0.72</v>
      </c>
      <c r="D6" s="5">
        <v>0.69</v>
      </c>
      <c r="E6" s="5">
        <v>0.87</v>
      </c>
      <c r="F6" s="5">
        <v>0.78</v>
      </c>
      <c r="G6" s="6">
        <v>0.91</v>
      </c>
      <c r="H6" s="7">
        <f>AVERAGE(C6:G6)</f>
        <v>0.79399999999999993</v>
      </c>
      <c r="I6" s="1">
        <f t="shared" ref="I6" si="0">_xlfn.VAR.S(C6:G6)</f>
        <v>8.9300000000001045E-3</v>
      </c>
      <c r="K6" s="4">
        <v>2</v>
      </c>
      <c r="L6" s="1">
        <v>7</v>
      </c>
      <c r="M6" s="1">
        <v>7</v>
      </c>
      <c r="N6" s="1">
        <v>5</v>
      </c>
      <c r="O6" s="1">
        <v>6</v>
      </c>
      <c r="P6" s="7">
        <v>5</v>
      </c>
      <c r="Q6" s="7">
        <v>3</v>
      </c>
      <c r="R6" s="7">
        <v>2</v>
      </c>
      <c r="S6" s="7">
        <v>3</v>
      </c>
      <c r="T6" s="7">
        <v>5</v>
      </c>
      <c r="U6" s="7">
        <v>2</v>
      </c>
      <c r="V6" s="4">
        <v>2</v>
      </c>
      <c r="W6" s="7">
        <f>AVERAGE(L6:V6)</f>
        <v>4.2727272727272725</v>
      </c>
      <c r="X6" s="1">
        <f>_xlfn.VAR.S(L6:V6)</f>
        <v>3.8181818181818188</v>
      </c>
      <c r="Z6" s="4">
        <v>2</v>
      </c>
      <c r="AA6" s="1">
        <v>1064</v>
      </c>
      <c r="AB6" s="1">
        <v>995</v>
      </c>
      <c r="AC6" s="1">
        <v>1089</v>
      </c>
      <c r="AD6" s="1">
        <v>972</v>
      </c>
      <c r="AE6" s="7">
        <v>1025</v>
      </c>
      <c r="AF6" s="7">
        <v>934</v>
      </c>
      <c r="AG6" s="25">
        <f t="shared" ref="AG6:AG10" si="1">AVERAGE(AA6:AF6)</f>
        <v>1013.1666666666666</v>
      </c>
      <c r="AH6" s="1">
        <f t="shared" ref="AH6:AH10" si="2">_xlfn.VAR.S(AA6:AF6)</f>
        <v>3353.3666666666663</v>
      </c>
      <c r="AJ6" s="4">
        <v>2</v>
      </c>
      <c r="AK6" s="1">
        <v>2.2999999999999998</v>
      </c>
      <c r="AL6" s="1">
        <v>2.2000000000000002</v>
      </c>
      <c r="AM6" s="1">
        <v>2.5</v>
      </c>
      <c r="AN6" s="1">
        <v>2.2999999999999998</v>
      </c>
      <c r="AO6" s="25">
        <f t="shared" ref="AO6:AO14" si="3">AVERAGE(AK6:AN6)</f>
        <v>2.3250000000000002</v>
      </c>
      <c r="AP6" s="1">
        <f t="shared" ref="AP6:AP14" si="4">_xlfn.VAR.S(AK6:AN6)</f>
        <v>1.5833333333333324E-2</v>
      </c>
    </row>
    <row r="7" spans="2:43" x14ac:dyDescent="0.25">
      <c r="B7" s="4">
        <v>3</v>
      </c>
      <c r="C7" s="5">
        <v>0.62</v>
      </c>
      <c r="D7" s="5">
        <v>1.08</v>
      </c>
      <c r="E7" s="5">
        <v>1.07</v>
      </c>
      <c r="F7" s="5">
        <v>0.99</v>
      </c>
      <c r="G7" s="6">
        <v>0.93</v>
      </c>
      <c r="H7" s="7">
        <f>AVERAGE(C7:G7)</f>
        <v>0.93800000000000006</v>
      </c>
      <c r="I7" s="1">
        <f>_xlfn.VAR.S(C7:G7)</f>
        <v>3.5370000000000124E-2</v>
      </c>
      <c r="K7" s="4">
        <v>3</v>
      </c>
      <c r="L7" s="1">
        <v>3</v>
      </c>
      <c r="M7" s="1">
        <v>3</v>
      </c>
      <c r="N7" s="1">
        <v>7</v>
      </c>
      <c r="O7" s="1">
        <v>5</v>
      </c>
      <c r="P7" s="7">
        <v>2</v>
      </c>
      <c r="Q7" s="7">
        <v>3</v>
      </c>
      <c r="R7" s="7">
        <v>3</v>
      </c>
      <c r="S7" s="7">
        <v>2</v>
      </c>
      <c r="T7" s="7">
        <v>4</v>
      </c>
      <c r="U7" s="7">
        <v>4</v>
      </c>
      <c r="V7" s="4">
        <v>2</v>
      </c>
      <c r="W7" s="7">
        <f>AVERAGE(L7:V7)</f>
        <v>3.4545454545454546</v>
      </c>
      <c r="X7" s="1">
        <f>_xlfn.VAR.S(L7:V7)</f>
        <v>2.272727272727272</v>
      </c>
      <c r="Z7" s="4">
        <v>3</v>
      </c>
      <c r="AA7" s="1">
        <v>1094</v>
      </c>
      <c r="AB7" s="1">
        <v>957</v>
      </c>
      <c r="AC7" s="1">
        <v>901</v>
      </c>
      <c r="AD7" s="1">
        <v>958</v>
      </c>
      <c r="AE7" s="7">
        <v>1092</v>
      </c>
      <c r="AF7" s="7">
        <v>1020</v>
      </c>
      <c r="AG7" s="25">
        <f t="shared" si="1"/>
        <v>1003.6666666666666</v>
      </c>
      <c r="AH7" s="1">
        <f t="shared" si="2"/>
        <v>6206.6666666666661</v>
      </c>
      <c r="AJ7" s="4">
        <v>3</v>
      </c>
      <c r="AK7" s="1">
        <v>2.6</v>
      </c>
      <c r="AL7" s="1">
        <v>2.8</v>
      </c>
      <c r="AM7" s="1">
        <v>2.6</v>
      </c>
      <c r="AN7" s="1">
        <v>2.9</v>
      </c>
      <c r="AO7" s="25">
        <f t="shared" si="3"/>
        <v>2.7250000000000001</v>
      </c>
      <c r="AP7" s="1">
        <f t="shared" si="4"/>
        <v>2.2499999999999964E-2</v>
      </c>
    </row>
    <row r="8" spans="2:43" x14ac:dyDescent="0.25">
      <c r="K8" s="4">
        <v>4</v>
      </c>
      <c r="L8" s="7">
        <v>5</v>
      </c>
      <c r="M8" s="7">
        <v>7</v>
      </c>
      <c r="N8" s="7">
        <v>6</v>
      </c>
      <c r="O8" s="7">
        <v>3</v>
      </c>
      <c r="P8" s="7">
        <v>5</v>
      </c>
      <c r="Q8" s="7">
        <v>3</v>
      </c>
      <c r="R8" s="7">
        <v>5</v>
      </c>
      <c r="S8" s="7">
        <v>7</v>
      </c>
      <c r="T8" s="7">
        <v>6</v>
      </c>
      <c r="U8" s="7">
        <v>3</v>
      </c>
      <c r="V8" s="16">
        <v>7</v>
      </c>
      <c r="W8" s="7">
        <f t="shared" ref="W8:W10" si="5">AVERAGE(L8:V8)</f>
        <v>5.1818181818181817</v>
      </c>
      <c r="X8" s="1">
        <f t="shared" ref="X8:X10" si="6">_xlfn.VAR.S(L8:V8)</f>
        <v>2.5636363636363626</v>
      </c>
      <c r="Z8" s="4">
        <v>4</v>
      </c>
      <c r="AA8" s="7">
        <v>976</v>
      </c>
      <c r="AB8" s="7">
        <v>1058</v>
      </c>
      <c r="AC8" s="7">
        <v>937</v>
      </c>
      <c r="AD8" s="7">
        <v>975</v>
      </c>
      <c r="AE8" s="7">
        <v>1076</v>
      </c>
      <c r="AF8" s="7">
        <v>944</v>
      </c>
      <c r="AG8" s="25">
        <f t="shared" si="1"/>
        <v>994.33333333333337</v>
      </c>
      <c r="AH8" s="1">
        <f t="shared" si="2"/>
        <v>3450.6666666666665</v>
      </c>
      <c r="AJ8" s="4">
        <v>4</v>
      </c>
      <c r="AK8" s="7">
        <v>2.1</v>
      </c>
      <c r="AL8" s="7">
        <v>3</v>
      </c>
      <c r="AM8" s="7">
        <v>2.1</v>
      </c>
      <c r="AN8" s="7">
        <v>2.7</v>
      </c>
      <c r="AO8" s="25">
        <f t="shared" si="3"/>
        <v>2.4749999999999996</v>
      </c>
      <c r="AP8" s="1">
        <f t="shared" si="4"/>
        <v>0.20250000000000176</v>
      </c>
    </row>
    <row r="9" spans="2:43" x14ac:dyDescent="0.25">
      <c r="B9" s="10" t="s">
        <v>30</v>
      </c>
      <c r="C9" s="8">
        <v>3</v>
      </c>
      <c r="E9" s="10" t="s">
        <v>9</v>
      </c>
      <c r="F9" s="8" cm="1">
        <f t="array" ref="F9">(C10/C11)*(SUM((H5:H7-$C$13)^2))</f>
        <v>3.0426666666666699E-2</v>
      </c>
      <c r="H9" s="10" t="s">
        <v>14</v>
      </c>
      <c r="I9" s="8">
        <f>F9/F10</f>
        <v>0.98659749243406769</v>
      </c>
      <c r="K9" s="4">
        <v>5</v>
      </c>
      <c r="L9" s="7">
        <v>7</v>
      </c>
      <c r="M9" s="7">
        <v>4</v>
      </c>
      <c r="N9" s="7">
        <v>5</v>
      </c>
      <c r="O9" s="7">
        <v>3</v>
      </c>
      <c r="P9" s="7">
        <v>5</v>
      </c>
      <c r="Q9" s="7">
        <v>5</v>
      </c>
      <c r="R9" s="7">
        <v>2</v>
      </c>
      <c r="S9" s="7">
        <v>2</v>
      </c>
      <c r="T9" s="7">
        <v>4</v>
      </c>
      <c r="U9" s="7">
        <v>5</v>
      </c>
      <c r="V9" s="16">
        <v>6</v>
      </c>
      <c r="W9" s="7">
        <f t="shared" si="5"/>
        <v>4.3636363636363633</v>
      </c>
      <c r="X9" s="1">
        <f t="shared" si="6"/>
        <v>2.4545454545454533</v>
      </c>
      <c r="Z9" s="4">
        <v>5</v>
      </c>
      <c r="AA9" s="7">
        <v>968</v>
      </c>
      <c r="AB9" s="7">
        <v>902</v>
      </c>
      <c r="AC9" s="7">
        <v>1018</v>
      </c>
      <c r="AD9" s="7">
        <v>980</v>
      </c>
      <c r="AE9" s="7">
        <v>1024</v>
      </c>
      <c r="AF9" s="7">
        <v>996</v>
      </c>
      <c r="AG9" s="25">
        <f t="shared" si="1"/>
        <v>981.33333333333337</v>
      </c>
      <c r="AH9" s="1">
        <f t="shared" si="2"/>
        <v>1970.6666666666667</v>
      </c>
      <c r="AJ9" s="4">
        <v>5</v>
      </c>
      <c r="AK9" s="7">
        <v>2.9</v>
      </c>
      <c r="AL9" s="7">
        <v>2.2000000000000002</v>
      </c>
      <c r="AM9" s="7">
        <v>3</v>
      </c>
      <c r="AN9" s="7">
        <v>2.7</v>
      </c>
      <c r="AO9" s="25">
        <f t="shared" si="3"/>
        <v>2.7</v>
      </c>
      <c r="AP9" s="1">
        <f t="shared" si="4"/>
        <v>0.12666666666666515</v>
      </c>
    </row>
    <row r="10" spans="2:43" x14ac:dyDescent="0.25">
      <c r="B10" s="9" t="s">
        <v>5</v>
      </c>
      <c r="C10" s="8">
        <v>5</v>
      </c>
      <c r="E10" s="10" t="s">
        <v>10</v>
      </c>
      <c r="F10" s="8">
        <f>(1/B7)*SUM(I5:I7)</f>
        <v>3.0840000000000051E-2</v>
      </c>
      <c r="H10" s="10" t="s">
        <v>15</v>
      </c>
      <c r="I10" s="8">
        <f>_xlfn.F.INV.RT(C15,C11,C12)</f>
        <v>6.9266081401913002</v>
      </c>
      <c r="K10" s="4">
        <v>6</v>
      </c>
      <c r="L10" s="7">
        <v>4</v>
      </c>
      <c r="M10" s="7">
        <v>7</v>
      </c>
      <c r="N10" s="7">
        <v>6</v>
      </c>
      <c r="O10" s="7">
        <v>6</v>
      </c>
      <c r="P10" s="7">
        <v>7</v>
      </c>
      <c r="Q10" s="7">
        <v>7</v>
      </c>
      <c r="R10" s="7">
        <v>3</v>
      </c>
      <c r="S10" s="7">
        <v>5</v>
      </c>
      <c r="T10" s="7">
        <v>3</v>
      </c>
      <c r="U10" s="7">
        <v>7</v>
      </c>
      <c r="V10" s="16">
        <v>5</v>
      </c>
      <c r="W10" s="7">
        <f t="shared" si="5"/>
        <v>5.4545454545454541</v>
      </c>
      <c r="X10" s="1">
        <f t="shared" si="6"/>
        <v>2.4727272727272749</v>
      </c>
      <c r="Z10" s="4">
        <v>6</v>
      </c>
      <c r="AA10" s="7">
        <v>1002</v>
      </c>
      <c r="AB10" s="7">
        <v>947</v>
      </c>
      <c r="AC10" s="7">
        <v>1079</v>
      </c>
      <c r="AD10" s="7">
        <v>1099</v>
      </c>
      <c r="AE10" s="7">
        <v>955</v>
      </c>
      <c r="AF10" s="7">
        <v>976</v>
      </c>
      <c r="AG10" s="25">
        <f t="shared" si="1"/>
        <v>1009.6666666666666</v>
      </c>
      <c r="AH10" s="1">
        <f t="shared" si="2"/>
        <v>4179.0666666666675</v>
      </c>
      <c r="AJ10" s="4">
        <v>6</v>
      </c>
      <c r="AK10" s="7">
        <v>2.2999999999999998</v>
      </c>
      <c r="AL10" s="7">
        <v>2.2999999999999998</v>
      </c>
      <c r="AM10" s="7">
        <v>2</v>
      </c>
      <c r="AN10" s="7">
        <v>2.6</v>
      </c>
      <c r="AO10" s="25">
        <f t="shared" si="3"/>
        <v>2.2999999999999998</v>
      </c>
      <c r="AP10" s="1">
        <f t="shared" si="4"/>
        <v>6.0000000000000019E-2</v>
      </c>
    </row>
    <row r="11" spans="2:43" x14ac:dyDescent="0.25">
      <c r="B11" s="10" t="s">
        <v>6</v>
      </c>
      <c r="C11" s="8">
        <f>B7-1</f>
        <v>2</v>
      </c>
      <c r="AJ11" s="4">
        <v>7</v>
      </c>
      <c r="AK11" s="7">
        <v>2</v>
      </c>
      <c r="AL11" s="7">
        <v>2.6</v>
      </c>
      <c r="AM11" s="7">
        <v>3</v>
      </c>
      <c r="AN11" s="7">
        <v>2.4</v>
      </c>
      <c r="AO11" s="25">
        <f t="shared" si="3"/>
        <v>2.5</v>
      </c>
      <c r="AP11" s="1">
        <f t="shared" si="4"/>
        <v>0.17333333333333437</v>
      </c>
    </row>
    <row r="12" spans="2:43" x14ac:dyDescent="0.25">
      <c r="B12" s="10" t="s">
        <v>7</v>
      </c>
      <c r="C12" s="8">
        <f>B7*(C10-1)</f>
        <v>12</v>
      </c>
      <c r="E12" s="10" t="s">
        <v>11</v>
      </c>
      <c r="F12" s="8">
        <f>(B7-1)*F9</f>
        <v>6.0853333333333398E-2</v>
      </c>
      <c r="K12" s="10" t="s">
        <v>27</v>
      </c>
      <c r="L12" s="8">
        <f>K10</f>
        <v>6</v>
      </c>
      <c r="N12" s="10" t="s">
        <v>9</v>
      </c>
      <c r="O12" s="8" cm="1">
        <f t="array" ref="O12">(L13/L14)*(SUM((W5:W10-L16)^2))</f>
        <v>5.8060606060606048</v>
      </c>
      <c r="Q12" t="s">
        <v>14</v>
      </c>
      <c r="R12" s="8">
        <f>O12/O13</f>
        <v>2.2124711316397225</v>
      </c>
      <c r="Z12" s="10" t="s">
        <v>27</v>
      </c>
      <c r="AA12" s="8">
        <f>Z10</f>
        <v>6</v>
      </c>
      <c r="AC12" s="10" t="s">
        <v>9</v>
      </c>
      <c r="AD12" s="8" cm="1">
        <f t="array" ref="AD12">(AA13/AA14)*(SUM((AG5:AG10-AA16)^2))</f>
        <v>1438.6944444444393</v>
      </c>
      <c r="AF12" t="s">
        <v>14</v>
      </c>
      <c r="AG12" s="8">
        <f>AD12/AD13</f>
        <v>0.39410467556540224</v>
      </c>
      <c r="AJ12" s="4">
        <v>8</v>
      </c>
      <c r="AK12" s="7">
        <v>2.8</v>
      </c>
      <c r="AL12" s="7">
        <v>2.7</v>
      </c>
      <c r="AM12" s="7">
        <v>2.5</v>
      </c>
      <c r="AN12" s="7">
        <v>2.2999999999999998</v>
      </c>
      <c r="AO12" s="25">
        <f t="shared" si="3"/>
        <v>2.5750000000000002</v>
      </c>
      <c r="AP12" s="1">
        <f t="shared" si="4"/>
        <v>4.9166666666666692E-2</v>
      </c>
    </row>
    <row r="13" spans="2:43" x14ac:dyDescent="0.25">
      <c r="B13" s="10" t="s">
        <v>8</v>
      </c>
      <c r="C13" s="8">
        <f>AVERAGE(C5:G7)</f>
        <v>0.8833333333333333</v>
      </c>
      <c r="E13" s="10" t="s">
        <v>12</v>
      </c>
      <c r="F13" s="8">
        <f>B7*(C10-1)*F10</f>
        <v>0.37008000000000063</v>
      </c>
      <c r="K13" s="9" t="s">
        <v>5</v>
      </c>
      <c r="L13" s="8">
        <v>11</v>
      </c>
      <c r="N13" s="10" t="s">
        <v>10</v>
      </c>
      <c r="O13" s="8">
        <f>(1/L12)*SUM(X5:X10)</f>
        <v>2.624242424242424</v>
      </c>
      <c r="Q13" t="s">
        <v>15</v>
      </c>
      <c r="R13" s="8">
        <f>_xlfn.F.INV.RT(L17,L14,L15)</f>
        <v>2.3682702357010696</v>
      </c>
      <c r="Z13" s="9" t="s">
        <v>5</v>
      </c>
      <c r="AA13" s="8">
        <v>6</v>
      </c>
      <c r="AC13" s="10" t="s">
        <v>10</v>
      </c>
      <c r="AD13" s="8">
        <f>(1/AA12)*SUM(AH5:AH10)</f>
        <v>3650.5388888888883</v>
      </c>
      <c r="AF13" t="s">
        <v>15</v>
      </c>
      <c r="AG13" s="8">
        <f>_xlfn.F.INV.RT(AA17,AA14,AA15)</f>
        <v>3.6990188114125706</v>
      </c>
      <c r="AJ13" s="4">
        <v>9</v>
      </c>
      <c r="AK13" s="7">
        <v>2.5</v>
      </c>
      <c r="AL13" s="7">
        <v>3</v>
      </c>
      <c r="AM13" s="7">
        <v>2.6</v>
      </c>
      <c r="AN13" s="7">
        <v>2.1</v>
      </c>
      <c r="AO13" s="25">
        <f t="shared" si="3"/>
        <v>2.5499999999999998</v>
      </c>
      <c r="AP13" s="1">
        <f t="shared" si="4"/>
        <v>0.13666666666666791</v>
      </c>
    </row>
    <row r="14" spans="2:43" x14ac:dyDescent="0.25">
      <c r="E14" s="10" t="s">
        <v>13</v>
      </c>
      <c r="F14" s="8">
        <f>F12+F13</f>
        <v>0.43093333333333406</v>
      </c>
      <c r="K14" s="10" t="s">
        <v>6</v>
      </c>
      <c r="L14" s="8">
        <f>L12-1</f>
        <v>5</v>
      </c>
      <c r="Z14" s="10" t="s">
        <v>6</v>
      </c>
      <c r="AA14" s="8">
        <f>AA12-1</f>
        <v>5</v>
      </c>
      <c r="AJ14" s="4">
        <v>10</v>
      </c>
      <c r="AK14" s="7">
        <v>3</v>
      </c>
      <c r="AL14" s="7">
        <v>2.4</v>
      </c>
      <c r="AM14" s="7">
        <v>2.5</v>
      </c>
      <c r="AN14" s="7">
        <v>2.6</v>
      </c>
      <c r="AO14" s="25">
        <f t="shared" si="3"/>
        <v>2.625</v>
      </c>
      <c r="AP14" s="1">
        <f t="shared" si="4"/>
        <v>6.9166666666666668E-2</v>
      </c>
    </row>
    <row r="15" spans="2:43" x14ac:dyDescent="0.25">
      <c r="B15" s="10" t="s">
        <v>16</v>
      </c>
      <c r="C15" s="11">
        <v>0.01</v>
      </c>
      <c r="K15" s="10" t="s">
        <v>7</v>
      </c>
      <c r="L15" s="8">
        <f>L12*(L13-1)</f>
        <v>60</v>
      </c>
      <c r="N15" s="10" t="s">
        <v>11</v>
      </c>
      <c r="O15" s="8">
        <f>(L12-1)*O12</f>
        <v>29.030303030303024</v>
      </c>
      <c r="Z15" s="10" t="s">
        <v>7</v>
      </c>
      <c r="AA15" s="8">
        <f>AA12*(AA13-1)</f>
        <v>30</v>
      </c>
      <c r="AC15" s="10" t="s">
        <v>11</v>
      </c>
      <c r="AD15" s="8">
        <f>(AA12-1)*AD12</f>
        <v>7193.4722222221972</v>
      </c>
    </row>
    <row r="16" spans="2:43" x14ac:dyDescent="0.25">
      <c r="K16" s="10" t="s">
        <v>8</v>
      </c>
      <c r="L16" s="8">
        <f>AVERAGE(L5:V10)</f>
        <v>4.4848484848484844</v>
      </c>
      <c r="N16" s="10" t="s">
        <v>12</v>
      </c>
      <c r="O16" s="8">
        <f>L12*(L13-1)*O13</f>
        <v>157.45454545454544</v>
      </c>
      <c r="Z16" s="10" t="s">
        <v>8</v>
      </c>
      <c r="AA16" s="8">
        <f>AVERAGE(AA5:AF10)</f>
        <v>996.19444444444446</v>
      </c>
      <c r="AC16" s="10" t="s">
        <v>12</v>
      </c>
      <c r="AD16" s="8">
        <f>AA12*(AA13-1)*AD13</f>
        <v>109516.16666666666</v>
      </c>
      <c r="AJ16" s="10" t="s">
        <v>27</v>
      </c>
      <c r="AK16" s="8">
        <f>AJ14</f>
        <v>10</v>
      </c>
      <c r="AM16" s="10" t="s">
        <v>9</v>
      </c>
      <c r="AN16" s="8" cm="1">
        <f t="array" ref="AN16">(AK17/AK18)*(SUM((AO5:AO14-AK20)^2))</f>
        <v>9.1805555555555668E-2</v>
      </c>
      <c r="AP16" t="s">
        <v>14</v>
      </c>
      <c r="AQ16" s="8">
        <f>AN16/AN17</f>
        <v>0.92499300307864185</v>
      </c>
    </row>
    <row r="17" spans="2:43" x14ac:dyDescent="0.25">
      <c r="K17" s="10" t="s">
        <v>16</v>
      </c>
      <c r="L17" s="11">
        <v>0.05</v>
      </c>
      <c r="N17" s="10" t="s">
        <v>13</v>
      </c>
      <c r="O17" s="8">
        <f>O15+O16</f>
        <v>186.48484848484847</v>
      </c>
      <c r="Z17" s="10" t="s">
        <v>16</v>
      </c>
      <c r="AA17" s="11">
        <v>0.01</v>
      </c>
      <c r="AC17" s="10" t="s">
        <v>13</v>
      </c>
      <c r="AD17" s="8">
        <f>AD15+AD16</f>
        <v>116709.63888888885</v>
      </c>
      <c r="AJ17" s="9" t="s">
        <v>5</v>
      </c>
      <c r="AK17" s="8">
        <v>4</v>
      </c>
      <c r="AM17" s="10" t="s">
        <v>10</v>
      </c>
      <c r="AN17" s="8">
        <f>(1/AK16)*SUM(AP5:AP14)</f>
        <v>9.9250000000000504E-2</v>
      </c>
      <c r="AP17" t="s">
        <v>15</v>
      </c>
      <c r="AQ17" s="8">
        <f>_xlfn.F.INV.RT(AK21,AK18,AK19)</f>
        <v>2.2106969833035763</v>
      </c>
    </row>
    <row r="18" spans="2:43" x14ac:dyDescent="0.25">
      <c r="AJ18" s="10" t="s">
        <v>6</v>
      </c>
      <c r="AK18" s="8">
        <f>AK16-1</f>
        <v>9</v>
      </c>
    </row>
    <row r="19" spans="2:43" x14ac:dyDescent="0.25">
      <c r="AJ19" s="10" t="s">
        <v>7</v>
      </c>
      <c r="AK19" s="8">
        <f>AK16*(AK17-1)</f>
        <v>30</v>
      </c>
      <c r="AM19" s="10" t="s">
        <v>11</v>
      </c>
      <c r="AN19" s="8">
        <f>(AK16-1)*AN16</f>
        <v>0.82625000000000104</v>
      </c>
    </row>
    <row r="20" spans="2:43" x14ac:dyDescent="0.25">
      <c r="AJ20" s="10" t="s">
        <v>8</v>
      </c>
      <c r="AK20" s="8">
        <f>AVERAGE(AK5:AN14)</f>
        <v>2.5125000000000002</v>
      </c>
      <c r="AM20" s="10" t="s">
        <v>12</v>
      </c>
      <c r="AN20" s="8">
        <f>AK16*(AK17-1)*AN17</f>
        <v>2.9775000000000151</v>
      </c>
    </row>
    <row r="21" spans="2:43" x14ac:dyDescent="0.25">
      <c r="AJ21" s="10" t="s">
        <v>16</v>
      </c>
      <c r="AK21" s="11">
        <v>0.05</v>
      </c>
      <c r="AM21" s="10" t="s">
        <v>13</v>
      </c>
      <c r="AN21" s="8">
        <f>AN19+AN20</f>
        <v>3.803750000000016</v>
      </c>
    </row>
    <row r="23" spans="2:43" x14ac:dyDescent="0.25">
      <c r="B23" s="24" t="s">
        <v>17</v>
      </c>
      <c r="C23" s="24"/>
      <c r="D23" s="24"/>
      <c r="E23" s="24"/>
      <c r="F23" s="24"/>
      <c r="G23" s="23"/>
      <c r="H23" s="23"/>
      <c r="I23" s="23"/>
      <c r="K23" s="24" t="s">
        <v>17</v>
      </c>
      <c r="L23" s="24"/>
      <c r="M23" s="24"/>
      <c r="N23" s="24"/>
      <c r="O23" s="24"/>
      <c r="P23" s="23"/>
      <c r="Q23" s="23"/>
      <c r="R23" s="23"/>
      <c r="Z23" s="24" t="s">
        <v>17</v>
      </c>
      <c r="AA23" s="24"/>
      <c r="AB23" s="24"/>
      <c r="AC23" s="24"/>
      <c r="AD23" s="24"/>
      <c r="AE23" s="23"/>
      <c r="AF23" s="23"/>
      <c r="AG23" s="23"/>
      <c r="AJ23" s="17" t="s">
        <v>17</v>
      </c>
      <c r="AK23" s="17"/>
      <c r="AL23" s="17"/>
      <c r="AM23" s="17"/>
      <c r="AN23" s="17"/>
      <c r="AO23" s="17"/>
      <c r="AP23" s="17"/>
      <c r="AQ23" s="17"/>
    </row>
    <row r="24" spans="2:43" ht="30" x14ac:dyDescent="0.25">
      <c r="B24" s="12" t="s">
        <v>18</v>
      </c>
      <c r="C24" s="13" t="s">
        <v>19</v>
      </c>
      <c r="D24" s="12" t="s">
        <v>21</v>
      </c>
      <c r="E24" s="12" t="s">
        <v>20</v>
      </c>
      <c r="F24" s="12" t="s">
        <v>22</v>
      </c>
      <c r="K24" s="12" t="s">
        <v>18</v>
      </c>
      <c r="L24" s="13" t="s">
        <v>19</v>
      </c>
      <c r="M24" s="12" t="s">
        <v>21</v>
      </c>
      <c r="N24" s="12" t="s">
        <v>20</v>
      </c>
      <c r="O24" s="12" t="s">
        <v>22</v>
      </c>
      <c r="Z24" s="12" t="s">
        <v>18</v>
      </c>
      <c r="AA24" s="13" t="s">
        <v>19</v>
      </c>
      <c r="AB24" s="12" t="s">
        <v>21</v>
      </c>
      <c r="AC24" s="12" t="s">
        <v>20</v>
      </c>
      <c r="AD24" s="12" t="s">
        <v>22</v>
      </c>
      <c r="AJ24" s="12" t="s">
        <v>18</v>
      </c>
      <c r="AK24" s="13" t="s">
        <v>19</v>
      </c>
      <c r="AL24" s="12" t="s">
        <v>21</v>
      </c>
      <c r="AM24" s="12" t="s">
        <v>20</v>
      </c>
      <c r="AN24" s="12" t="s">
        <v>22</v>
      </c>
    </row>
    <row r="25" spans="2:43" x14ac:dyDescent="0.25">
      <c r="B25" s="14" t="s">
        <v>23</v>
      </c>
      <c r="C25" s="14">
        <f>C11</f>
        <v>2</v>
      </c>
      <c r="D25" s="14">
        <f>F12</f>
        <v>6.0853333333333398E-2</v>
      </c>
      <c r="E25" s="14">
        <f>F9</f>
        <v>3.0426666666666699E-2</v>
      </c>
      <c r="F25" s="14">
        <f>I9</f>
        <v>0.98659749243406769</v>
      </c>
      <c r="K25" s="14" t="s">
        <v>23</v>
      </c>
      <c r="L25" s="14">
        <f>L14</f>
        <v>5</v>
      </c>
      <c r="M25" s="14">
        <f>O15</f>
        <v>29.030303030303024</v>
      </c>
      <c r="N25" s="14">
        <f>O12</f>
        <v>5.8060606060606048</v>
      </c>
      <c r="O25" s="14">
        <f>R12</f>
        <v>2.2124711316397225</v>
      </c>
      <c r="Z25" s="14" t="s">
        <v>23</v>
      </c>
      <c r="AA25" s="14">
        <f>AA14</f>
        <v>5</v>
      </c>
      <c r="AB25" s="14">
        <f>AD15</f>
        <v>7193.4722222221972</v>
      </c>
      <c r="AC25" s="14">
        <f>AD12</f>
        <v>1438.6944444444393</v>
      </c>
      <c r="AD25" s="14">
        <f>AG12</f>
        <v>0.39410467556540224</v>
      </c>
      <c r="AJ25" s="14" t="s">
        <v>23</v>
      </c>
      <c r="AK25" s="14">
        <f>AK18</f>
        <v>9</v>
      </c>
      <c r="AL25" s="14">
        <f>AN19</f>
        <v>0.82625000000000104</v>
      </c>
      <c r="AM25" s="14">
        <f>AN16</f>
        <v>9.1805555555555668E-2</v>
      </c>
      <c r="AN25" s="14">
        <f>AQ16</f>
        <v>0.92499300307864185</v>
      </c>
    </row>
    <row r="26" spans="2:43" x14ac:dyDescent="0.25">
      <c r="B26" s="14" t="s">
        <v>24</v>
      </c>
      <c r="C26" s="14">
        <f>C12</f>
        <v>12</v>
      </c>
      <c r="D26" s="14">
        <f>F13</f>
        <v>0.37008000000000063</v>
      </c>
      <c r="E26" s="14">
        <f>F10</f>
        <v>3.0840000000000051E-2</v>
      </c>
      <c r="F26" s="14"/>
      <c r="K26" s="14" t="s">
        <v>24</v>
      </c>
      <c r="L26" s="14">
        <f>L15</f>
        <v>60</v>
      </c>
      <c r="M26" s="14">
        <f>O16</f>
        <v>157.45454545454544</v>
      </c>
      <c r="N26" s="14">
        <f>O13</f>
        <v>2.624242424242424</v>
      </c>
      <c r="O26" s="14"/>
      <c r="Z26" s="14" t="s">
        <v>24</v>
      </c>
      <c r="AA26" s="14">
        <f>AA15</f>
        <v>30</v>
      </c>
      <c r="AB26" s="14">
        <f>AD16</f>
        <v>109516.16666666666</v>
      </c>
      <c r="AC26" s="14">
        <f>AD13</f>
        <v>3650.5388888888883</v>
      </c>
      <c r="AD26" s="14"/>
      <c r="AJ26" s="14" t="s">
        <v>24</v>
      </c>
      <c r="AK26" s="14">
        <f>AK19</f>
        <v>30</v>
      </c>
      <c r="AL26" s="14">
        <f>AN20</f>
        <v>2.9775000000000151</v>
      </c>
      <c r="AM26" s="14">
        <f>AN17</f>
        <v>9.9250000000000504E-2</v>
      </c>
      <c r="AN26" s="14"/>
    </row>
    <row r="27" spans="2:43" x14ac:dyDescent="0.25">
      <c r="B27" s="14" t="s">
        <v>25</v>
      </c>
      <c r="C27" s="14">
        <f>(B7*C10)-1</f>
        <v>14</v>
      </c>
      <c r="D27" s="14">
        <f>F14</f>
        <v>0.43093333333333406</v>
      </c>
      <c r="E27" s="14"/>
      <c r="F27" s="14"/>
      <c r="K27" s="14" t="s">
        <v>25</v>
      </c>
      <c r="L27" s="14">
        <f>(L12*L13)-1</f>
        <v>65</v>
      </c>
      <c r="M27" s="14">
        <f>O17</f>
        <v>186.48484848484847</v>
      </c>
      <c r="N27" s="14"/>
      <c r="O27" s="14"/>
      <c r="Z27" s="14" t="s">
        <v>25</v>
      </c>
      <c r="AA27" s="14">
        <f>(AA12*AA13)-1</f>
        <v>35</v>
      </c>
      <c r="AB27" s="14">
        <f>AD17</f>
        <v>116709.63888888885</v>
      </c>
      <c r="AC27" s="14"/>
      <c r="AD27" s="14"/>
      <c r="AJ27" s="14" t="s">
        <v>25</v>
      </c>
      <c r="AK27" s="14">
        <f>(AK16*AK17)-1</f>
        <v>39</v>
      </c>
      <c r="AL27" s="14">
        <f>AN21</f>
        <v>3.803750000000016</v>
      </c>
      <c r="AM27" s="14"/>
      <c r="AN27" s="14"/>
    </row>
  </sheetData>
  <mergeCells count="12">
    <mergeCell ref="C4:G4"/>
    <mergeCell ref="B2:I2"/>
    <mergeCell ref="L4:V4"/>
    <mergeCell ref="K2:X2"/>
    <mergeCell ref="B23:F23"/>
    <mergeCell ref="K23:O23"/>
    <mergeCell ref="AA4:AF4"/>
    <mergeCell ref="Z2:AH2"/>
    <mergeCell ref="AJ23:AQ23"/>
    <mergeCell ref="AK4:AN4"/>
    <mergeCell ref="AJ2:AQ2"/>
    <mergeCell ref="Z23:AD23"/>
  </mergeCells>
  <pageMargins left="0.7" right="0.7" top="0.75" bottom="0.75" header="0.3" footer="0.3"/>
  <ignoredErrors>
    <ignoredError sqref="H5:I7 AO5:AP14 W5:X10 AG5:AH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Anthony Hermawan</dc:creator>
  <cp:lastModifiedBy>Christian Anthony Hermawan</cp:lastModifiedBy>
  <dcterms:created xsi:type="dcterms:W3CDTF">2015-06-05T18:17:20Z</dcterms:created>
  <dcterms:modified xsi:type="dcterms:W3CDTF">2026-06-14T14:01:57Z</dcterms:modified>
</cp:coreProperties>
</file>