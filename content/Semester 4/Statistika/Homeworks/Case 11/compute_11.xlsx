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66855f1fd88c86/Dokumen/Obsidian/Catatan Kuliah/Statistika/Homeworks/Case 11/"/>
    </mc:Choice>
  </mc:AlternateContent>
  <xr:revisionPtr revIDLastSave="278" documentId="11_F25DC773A252ABDACC104849F95E55565BDE58F9" xr6:coauthVersionLast="47" xr6:coauthVersionMax="47" xr10:uidLastSave="{7B027212-FF33-47E7-9168-E31C2014F25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1" l="1"/>
  <c r="Q17" i="1"/>
  <c r="J20" i="1"/>
  <c r="C17" i="1"/>
  <c r="W18" i="1"/>
  <c r="W19" i="1" s="1"/>
  <c r="P15" i="1"/>
  <c r="P16" i="1" s="1"/>
  <c r="I18" i="1"/>
  <c r="I19" i="1" s="1"/>
  <c r="B15" i="1"/>
  <c r="B16" i="1" s="1"/>
  <c r="W17" i="1"/>
  <c r="W16" i="1"/>
  <c r="P14" i="1"/>
  <c r="P13" i="1" s="1"/>
  <c r="I17" i="1"/>
  <c r="I16" i="1"/>
  <c r="B13" i="1"/>
  <c r="B14" i="1"/>
  <c r="AA14" i="1"/>
  <c r="Z14" i="1"/>
  <c r="Y14" i="1"/>
  <c r="X14" i="1"/>
  <c r="W14" i="1"/>
  <c r="T11" i="1"/>
  <c r="S11" i="1"/>
  <c r="R11" i="1"/>
  <c r="Q11" i="1"/>
  <c r="P11" i="1"/>
  <c r="Z2" i="1"/>
  <c r="Y3" i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Y13" i="1"/>
  <c r="Z13" i="1"/>
  <c r="AA13" i="1"/>
  <c r="AA2" i="1"/>
  <c r="Y2" i="1"/>
  <c r="R3" i="1"/>
  <c r="S3" i="1"/>
  <c r="T3" i="1"/>
  <c r="R4" i="1"/>
  <c r="S4" i="1"/>
  <c r="T4" i="1"/>
  <c r="R5" i="1"/>
  <c r="S5" i="1"/>
  <c r="T5" i="1"/>
  <c r="R6" i="1"/>
  <c r="S6" i="1"/>
  <c r="T6" i="1"/>
  <c r="R7" i="1"/>
  <c r="S7" i="1"/>
  <c r="T7" i="1"/>
  <c r="R8" i="1"/>
  <c r="S8" i="1"/>
  <c r="T8" i="1"/>
  <c r="R9" i="1"/>
  <c r="S9" i="1"/>
  <c r="T9" i="1"/>
  <c r="R10" i="1"/>
  <c r="S10" i="1"/>
  <c r="T10" i="1"/>
  <c r="T2" i="1"/>
  <c r="S2" i="1"/>
  <c r="R2" i="1"/>
  <c r="J14" i="1"/>
  <c r="I14" i="1"/>
  <c r="K3" i="1"/>
  <c r="L3" i="1"/>
  <c r="L14" i="1" s="1"/>
  <c r="M3" i="1"/>
  <c r="K4" i="1"/>
  <c r="L4" i="1"/>
  <c r="M4" i="1"/>
  <c r="K5" i="1"/>
  <c r="L5" i="1"/>
  <c r="M5" i="1"/>
  <c r="K6" i="1"/>
  <c r="L6" i="1"/>
  <c r="M6" i="1"/>
  <c r="K7" i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M2" i="1"/>
  <c r="M14" i="1" s="1"/>
  <c r="L2" i="1"/>
  <c r="K2" i="1"/>
  <c r="K14" i="1" s="1"/>
  <c r="C11" i="1"/>
  <c r="B11" i="1"/>
  <c r="F3" i="1"/>
  <c r="F4" i="1"/>
  <c r="F5" i="1"/>
  <c r="F6" i="1"/>
  <c r="F7" i="1"/>
  <c r="F8" i="1"/>
  <c r="F9" i="1"/>
  <c r="F10" i="1"/>
  <c r="F2" i="1"/>
  <c r="F11" i="1" s="1"/>
  <c r="E3" i="1"/>
  <c r="E4" i="1"/>
  <c r="E5" i="1"/>
  <c r="E6" i="1"/>
  <c r="E7" i="1"/>
  <c r="E8" i="1"/>
  <c r="E9" i="1"/>
  <c r="E10" i="1"/>
  <c r="E2" i="1"/>
  <c r="E11" i="1" s="1"/>
  <c r="D3" i="1"/>
  <c r="D4" i="1"/>
  <c r="D5" i="1"/>
  <c r="D6" i="1"/>
  <c r="D7" i="1"/>
  <c r="D8" i="1"/>
  <c r="D9" i="1"/>
  <c r="D10" i="1"/>
  <c r="D2" i="1"/>
  <c r="D11" i="1" s="1"/>
</calcChain>
</file>

<file path=xl/sharedStrings.xml><?xml version="1.0" encoding="utf-8"?>
<sst xmlns="http://schemas.openxmlformats.org/spreadsheetml/2006/main" count="48" uniqueCount="12">
  <si>
    <t>No.</t>
  </si>
  <si>
    <t>x</t>
  </si>
  <si>
    <t>y</t>
  </si>
  <si>
    <t>x^2</t>
  </si>
  <si>
    <t>y^2</t>
  </si>
  <si>
    <t>xy</t>
  </si>
  <si>
    <t>TOTAL</t>
  </si>
  <si>
    <t>A =</t>
  </si>
  <si>
    <t>B =</t>
  </si>
  <si>
    <t xml:space="preserve">r = </t>
  </si>
  <si>
    <t xml:space="preserve">r^2 = </t>
  </si>
  <si>
    <t>x_pred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</si>
</sst>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LinReg</a:t>
            </a:r>
            <a:endParaRPr lang="en-US"/>
          </a:p>
        </c:rich>
      </c:tx>
      <c:layout>
        <c:manualLayout>
          <c:xMode val="edge"/>
          <c:yMode val="edge"/>
          <c:x val="0.43399537386593795"/>
          <c:y val="2.92504514242896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105646040820238"/>
                  <c:y val="-5.3732925720743403E-2"/>
                </c:manualLayout>
              </c:layout>
              <c:numFmt formatCode="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Sheet1!$B$2:$B$10</c:f>
              <c:numCache>
                <c:formatCode>General</c:formatCode>
                <c:ptCount val="9"/>
                <c:pt idx="0">
                  <c:v>77</c:v>
                </c:pt>
                <c:pt idx="1">
                  <c:v>50</c:v>
                </c:pt>
                <c:pt idx="2">
                  <c:v>71</c:v>
                </c:pt>
                <c:pt idx="3">
                  <c:v>72</c:v>
                </c:pt>
                <c:pt idx="4">
                  <c:v>81</c:v>
                </c:pt>
                <c:pt idx="5">
                  <c:v>94</c:v>
                </c:pt>
                <c:pt idx="6">
                  <c:v>96</c:v>
                </c:pt>
                <c:pt idx="7">
                  <c:v>99</c:v>
                </c:pt>
                <c:pt idx="8">
                  <c:v>67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82</c:v>
                </c:pt>
                <c:pt idx="1">
                  <c:v>66</c:v>
                </c:pt>
                <c:pt idx="2">
                  <c:v>78</c:v>
                </c:pt>
                <c:pt idx="3">
                  <c:v>34</c:v>
                </c:pt>
                <c:pt idx="4">
                  <c:v>47</c:v>
                </c:pt>
                <c:pt idx="5">
                  <c:v>85</c:v>
                </c:pt>
                <c:pt idx="6">
                  <c:v>99</c:v>
                </c:pt>
                <c:pt idx="7">
                  <c:v>99</c:v>
                </c:pt>
                <c:pt idx="8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11-4DE2-9A81-27184F686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368560"/>
        <c:axId val="1645366160"/>
      </c:scatterChart>
      <c:valAx>
        <c:axId val="16453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6160"/>
        <c:crosses val="autoZero"/>
        <c:crossBetween val="midCat"/>
      </c:valAx>
      <c:valAx>
        <c:axId val="16453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85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LinReg</a:t>
            </a:r>
            <a:endParaRPr lang="en-US"/>
          </a:p>
        </c:rich>
      </c:tx>
      <c:layout>
        <c:manualLayout>
          <c:xMode val="edge"/>
          <c:yMode val="edge"/>
          <c:x val="0.43399537386593795"/>
          <c:y val="2.92504514242896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39267321036925179"/>
                  <c:y val="-1.846770627326217E-3"/>
                </c:manualLayout>
              </c:layout>
              <c:numFmt formatCode="General" sourceLinked="0"/>
            </c:trendlineLbl>
          </c:trendline>
          <c:xVal>
            <c:numRef>
              <c:f>Sheet1!$I$2:$I$13</c:f>
              <c:numCache>
                <c:formatCode>General</c:formatCode>
                <c:ptCount val="12"/>
                <c:pt idx="0">
                  <c:v>40</c:v>
                </c:pt>
                <c:pt idx="1">
                  <c:v>20</c:v>
                </c:pt>
                <c:pt idx="2">
                  <c:v>25</c:v>
                </c:pt>
                <c:pt idx="3">
                  <c:v>20</c:v>
                </c:pt>
                <c:pt idx="4">
                  <c:v>30</c:v>
                </c:pt>
                <c:pt idx="5">
                  <c:v>50</c:v>
                </c:pt>
                <c:pt idx="6">
                  <c:v>40</c:v>
                </c:pt>
                <c:pt idx="7">
                  <c:v>20</c:v>
                </c:pt>
                <c:pt idx="8">
                  <c:v>50</c:v>
                </c:pt>
                <c:pt idx="9">
                  <c:v>40</c:v>
                </c:pt>
                <c:pt idx="10">
                  <c:v>25</c:v>
                </c:pt>
                <c:pt idx="11">
                  <c:v>50</c:v>
                </c:pt>
              </c:numCache>
            </c:numRef>
          </c:xVal>
          <c:yVal>
            <c:numRef>
              <c:f>Sheet1!$J$2:$J$13</c:f>
              <c:numCache>
                <c:formatCode>General</c:formatCode>
                <c:ptCount val="12"/>
                <c:pt idx="0">
                  <c:v>385</c:v>
                </c:pt>
                <c:pt idx="1">
                  <c:v>400</c:v>
                </c:pt>
                <c:pt idx="2">
                  <c:v>395</c:v>
                </c:pt>
                <c:pt idx="3">
                  <c:v>365</c:v>
                </c:pt>
                <c:pt idx="4">
                  <c:v>475</c:v>
                </c:pt>
                <c:pt idx="5">
                  <c:v>440</c:v>
                </c:pt>
                <c:pt idx="6">
                  <c:v>490</c:v>
                </c:pt>
                <c:pt idx="7">
                  <c:v>420</c:v>
                </c:pt>
                <c:pt idx="8">
                  <c:v>560</c:v>
                </c:pt>
                <c:pt idx="9">
                  <c:v>525</c:v>
                </c:pt>
                <c:pt idx="10">
                  <c:v>480</c:v>
                </c:pt>
                <c:pt idx="11">
                  <c:v>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3AB-4BDE-B98A-59F324C5C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368560"/>
        <c:axId val="1645366160"/>
      </c:scatterChart>
      <c:valAx>
        <c:axId val="16453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6160"/>
        <c:crosses val="autoZero"/>
        <c:crossBetween val="midCat"/>
      </c:valAx>
      <c:valAx>
        <c:axId val="16453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85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LinReg</a:t>
            </a:r>
            <a:endParaRPr lang="en-US"/>
          </a:p>
        </c:rich>
      </c:tx>
      <c:layout>
        <c:manualLayout>
          <c:xMode val="edge"/>
          <c:yMode val="edge"/>
          <c:x val="0.43399537386593795"/>
          <c:y val="2.92504514242896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y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-0.44276705137885164"/>
                  <c:y val="-0.15628454777727277"/>
                </c:manualLayout>
              </c:layout>
              <c:numFmt formatCode="General" sourceLinked="0"/>
            </c:trendlineLbl>
          </c:trendline>
          <c:xVal>
            <c:numRef>
              <c:f>Sheet1!$P$2:$P$10</c:f>
              <c:numCache>
                <c:formatCode>General</c:formatCode>
                <c:ptCount val="9"/>
                <c:pt idx="0">
                  <c:v>55</c:v>
                </c:pt>
                <c:pt idx="1">
                  <c:v>57</c:v>
                </c:pt>
                <c:pt idx="2">
                  <c:v>59</c:v>
                </c:pt>
                <c:pt idx="3">
                  <c:v>63</c:v>
                </c:pt>
                <c:pt idx="4">
                  <c:v>65</c:v>
                </c:pt>
                <c:pt idx="5">
                  <c:v>66</c:v>
                </c:pt>
                <c:pt idx="6">
                  <c:v>67</c:v>
                </c:pt>
                <c:pt idx="7">
                  <c:v>70</c:v>
                </c:pt>
                <c:pt idx="8">
                  <c:v>73</c:v>
                </c:pt>
              </c:numCache>
            </c:numRef>
          </c:xVal>
          <c:yVal>
            <c:numRef>
              <c:f>Sheet1!$Q$2:$Q$10</c:f>
              <c:numCache>
                <c:formatCode>General</c:formatCode>
                <c:ptCount val="9"/>
                <c:pt idx="0">
                  <c:v>112</c:v>
                </c:pt>
                <c:pt idx="1">
                  <c:v>103</c:v>
                </c:pt>
                <c:pt idx="2">
                  <c:v>95</c:v>
                </c:pt>
                <c:pt idx="3">
                  <c:v>96</c:v>
                </c:pt>
                <c:pt idx="4">
                  <c:v>90</c:v>
                </c:pt>
                <c:pt idx="5">
                  <c:v>85</c:v>
                </c:pt>
                <c:pt idx="6">
                  <c:v>84</c:v>
                </c:pt>
                <c:pt idx="7">
                  <c:v>80</c:v>
                </c:pt>
                <c:pt idx="8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3F-40C3-8255-4C1FF6D17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368560"/>
        <c:axId val="1645366160"/>
      </c:scatterChart>
      <c:valAx>
        <c:axId val="16453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6160"/>
        <c:crosses val="autoZero"/>
        <c:crossBetween val="midCat"/>
      </c:valAx>
      <c:valAx>
        <c:axId val="16453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3685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LinReg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Sheet1!$X$1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9416622922134732"/>
                  <c:y val="1.11038203557888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Sheet1!$W$2:$W$13</c:f>
              <c:numCache>
                <c:formatCode>General</c:formatCode>
                <c:ptCount val="12"/>
                <c:pt idx="0">
                  <c:v>-12</c:v>
                </c:pt>
                <c:pt idx="1">
                  <c:v>-9</c:v>
                </c:pt>
                <c:pt idx="2">
                  <c:v>-5</c:v>
                </c:pt>
                <c:pt idx="3">
                  <c:v>-2</c:v>
                </c:pt>
                <c:pt idx="4">
                  <c:v>0</c:v>
                </c:pt>
                <c:pt idx="5">
                  <c:v>3</c:v>
                </c:pt>
                <c:pt idx="6">
                  <c:v>5</c:v>
                </c:pt>
                <c:pt idx="7">
                  <c:v>8</c:v>
                </c:pt>
                <c:pt idx="8">
                  <c:v>11</c:v>
                </c:pt>
                <c:pt idx="9">
                  <c:v>15</c:v>
                </c:pt>
                <c:pt idx="10">
                  <c:v>19</c:v>
                </c:pt>
                <c:pt idx="11">
                  <c:v>23</c:v>
                </c:pt>
              </c:numCache>
            </c:numRef>
          </c:xVal>
          <c:yVal>
            <c:numRef>
              <c:f>Sheet1!$X$2:$X$13</c:f>
              <c:numCache>
                <c:formatCode>General</c:formatCode>
                <c:ptCount val="12"/>
                <c:pt idx="0">
                  <c:v>0.97</c:v>
                </c:pt>
                <c:pt idx="1">
                  <c:v>0.99</c:v>
                </c:pt>
                <c:pt idx="2">
                  <c:v>1.01</c:v>
                </c:pt>
                <c:pt idx="3">
                  <c:v>1.03</c:v>
                </c:pt>
                <c:pt idx="4">
                  <c:v>1.05</c:v>
                </c:pt>
                <c:pt idx="5">
                  <c:v>1.1100000000000001</c:v>
                </c:pt>
                <c:pt idx="6">
                  <c:v>1.1200000000000001</c:v>
                </c:pt>
                <c:pt idx="7">
                  <c:v>1.1299999999999999</c:v>
                </c:pt>
                <c:pt idx="8">
                  <c:v>1.1200000000000001</c:v>
                </c:pt>
                <c:pt idx="9">
                  <c:v>1.1399999999999999</c:v>
                </c:pt>
                <c:pt idx="10">
                  <c:v>1.1599999999999999</c:v>
                </c:pt>
                <c:pt idx="11">
                  <c:v>1.19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4-4E4D-AA32-57CA6B64F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4818031"/>
        <c:axId val="1404813231"/>
      </c:scatterChart>
      <c:valAx>
        <c:axId val="140481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13231"/>
        <c:crosses val="autoZero"/>
        <c:crossBetween val="midCat"/>
      </c:valAx>
      <c:valAx>
        <c:axId val="14048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81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90487</xdr:rowOff>
    </xdr:from>
    <xdr:to>
      <xdr:col>6</xdr:col>
      <xdr:colOff>514350</xdr:colOff>
      <xdr:row>36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4D67A-744D-42E7-8DEA-4838A8E49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22</xdr:row>
      <xdr:rowOff>95250</xdr:rowOff>
    </xdr:from>
    <xdr:to>
      <xdr:col>13</xdr:col>
      <xdr:colOff>542925</xdr:colOff>
      <xdr:row>36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B0711-358A-4FFD-949B-85911CB07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133350</xdr:colOff>
      <xdr:row>22</xdr:row>
      <xdr:rowOff>104775</xdr:rowOff>
    </xdr:from>
    <xdr:to>
      <xdr:col>20</xdr:col>
      <xdr:colOff>638175</xdr:colOff>
      <xdr:row>36</xdr:row>
      <xdr:rowOff>42863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3DCA9-3174-4CC0-A6B6-4DEE0DEF0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909637</xdr:colOff>
      <xdr:row>22</xdr:row>
      <xdr:rowOff>80961</xdr:rowOff>
    </xdr:from>
    <xdr:to>
      <xdr:col>27</xdr:col>
      <xdr:colOff>504825</xdr:colOff>
      <xdr:row>36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A4E2C5-59A2-2FA4-726A-36FC52EED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zoomScaleNormal="100" workbookViewId="0">
      <selection activeCell="G24" sqref="G24"/>
    </sheetView>
  </sheetViews>
  <sheetFormatPr defaultRowHeight="15" x14ac:dyDescent="0.25"/>
  <cols>
    <col min="7" max="7" width="12.28515625" customWidth="1"/>
    <col min="21" max="21" width="14.140625" customWidth="1"/>
    <col min="26" max="26" width="11.7109375" customWidth="1"/>
  </cols>
  <sheetData>
    <row r="1" spans="1:27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O1" s="3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V1" s="3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</row>
    <row r="2" spans="1:27" x14ac:dyDescent="0.25">
      <c r="A2" s="2">
        <v>1</v>
      </c>
      <c r="B2">
        <v>77</v>
      </c>
      <c r="C2">
        <v>82</v>
      </c>
      <c r="D2">
        <f>B2*B2</f>
        <v>5929</v>
      </c>
      <c r="E2">
        <f>C2*C2</f>
        <v>6724</v>
      </c>
      <c r="F2">
        <f>B2*C2</f>
        <v>6314</v>
      </c>
      <c r="H2" s="2">
        <v>1</v>
      </c>
      <c r="I2">
        <v>40</v>
      </c>
      <c r="J2">
        <v>385</v>
      </c>
      <c r="K2">
        <f>I2*I2</f>
        <v>1600</v>
      </c>
      <c r="L2">
        <f>J2*J2</f>
        <v>148225</v>
      </c>
      <c r="M2">
        <f>I2*J2</f>
        <v>15400</v>
      </c>
      <c r="O2" s="2">
        <v>1</v>
      </c>
      <c r="P2">
        <v>55</v>
      </c>
      <c r="Q2">
        <v>112</v>
      </c>
      <c r="R2">
        <f>P2*P2</f>
        <v>3025</v>
      </c>
      <c r="S2">
        <f>Q2*Q2</f>
        <v>12544</v>
      </c>
      <c r="T2">
        <f>P2*Q2</f>
        <v>6160</v>
      </c>
      <c r="V2" s="2">
        <v>1</v>
      </c>
      <c r="W2">
        <v>-12</v>
      </c>
      <c r="X2">
        <v>0.97</v>
      </c>
      <c r="Y2">
        <f>W2*W2</f>
        <v>144</v>
      </c>
      <c r="Z2">
        <f>X2*X2</f>
        <v>0.94089999999999996</v>
      </c>
      <c r="AA2">
        <f>W2*X2</f>
        <v>-11.64</v>
      </c>
    </row>
    <row r="3" spans="1:27" x14ac:dyDescent="0.25">
      <c r="A3" s="2">
        <v>2</v>
      </c>
      <c r="B3">
        <v>50</v>
      </c>
      <c r="C3">
        <v>66</v>
      </c>
      <c r="D3">
        <f t="shared" ref="D3:D10" si="0">B3*B3</f>
        <v>2500</v>
      </c>
      <c r="E3">
        <f t="shared" ref="E3:E10" si="1">C3*C3</f>
        <v>4356</v>
      </c>
      <c r="F3">
        <f t="shared" ref="F3:F10" si="2">B3*C3</f>
        <v>3300</v>
      </c>
      <c r="H3" s="2">
        <v>2</v>
      </c>
      <c r="I3">
        <v>20</v>
      </c>
      <c r="J3">
        <v>400</v>
      </c>
      <c r="K3">
        <f t="shared" ref="K3:K13" si="3">I3*I3</f>
        <v>400</v>
      </c>
      <c r="L3">
        <f t="shared" ref="L3:L13" si="4">J3*J3</f>
        <v>160000</v>
      </c>
      <c r="M3">
        <f t="shared" ref="M3:M13" si="5">I3*J3</f>
        <v>8000</v>
      </c>
      <c r="O3" s="2">
        <v>2</v>
      </c>
      <c r="P3">
        <v>57</v>
      </c>
      <c r="Q3">
        <v>103</v>
      </c>
      <c r="R3">
        <f t="shared" ref="R3:R10" si="6">P3*P3</f>
        <v>3249</v>
      </c>
      <c r="S3">
        <f t="shared" ref="S3:S10" si="7">Q3*Q3</f>
        <v>10609</v>
      </c>
      <c r="T3">
        <f t="shared" ref="T3:T10" si="8">P3*Q3</f>
        <v>5871</v>
      </c>
      <c r="V3" s="2">
        <v>2</v>
      </c>
      <c r="W3">
        <v>-9</v>
      </c>
      <c r="X3">
        <v>0.99</v>
      </c>
      <c r="Y3">
        <f>W3*W3</f>
        <v>81</v>
      </c>
      <c r="Z3">
        <f t="shared" ref="Z3:Z13" si="9">X3*X3</f>
        <v>0.98009999999999997</v>
      </c>
      <c r="AA3">
        <f>W3*X3</f>
        <v>-8.91</v>
      </c>
    </row>
    <row r="4" spans="1:27" x14ac:dyDescent="0.25">
      <c r="A4" s="2">
        <v>3</v>
      </c>
      <c r="B4">
        <v>71</v>
      </c>
      <c r="C4">
        <v>78</v>
      </c>
      <c r="D4">
        <f t="shared" si="0"/>
        <v>5041</v>
      </c>
      <c r="E4">
        <f t="shared" si="1"/>
        <v>6084</v>
      </c>
      <c r="F4">
        <f t="shared" si="2"/>
        <v>5538</v>
      </c>
      <c r="H4" s="2">
        <v>3</v>
      </c>
      <c r="I4">
        <v>25</v>
      </c>
      <c r="J4">
        <v>395</v>
      </c>
      <c r="K4">
        <f t="shared" si="3"/>
        <v>625</v>
      </c>
      <c r="L4">
        <f t="shared" si="4"/>
        <v>156025</v>
      </c>
      <c r="M4">
        <f t="shared" si="5"/>
        <v>9875</v>
      </c>
      <c r="O4" s="2">
        <v>3</v>
      </c>
      <c r="P4">
        <v>59</v>
      </c>
      <c r="Q4">
        <v>95</v>
      </c>
      <c r="R4">
        <f t="shared" si="6"/>
        <v>3481</v>
      </c>
      <c r="S4">
        <f t="shared" si="7"/>
        <v>9025</v>
      </c>
      <c r="T4">
        <f t="shared" si="8"/>
        <v>5605</v>
      </c>
      <c r="V4" s="2">
        <v>3</v>
      </c>
      <c r="W4">
        <v>-5</v>
      </c>
      <c r="X4">
        <v>1.01</v>
      </c>
      <c r="Y4">
        <f t="shared" ref="Y4:Y13" si="10">W4*W4</f>
        <v>25</v>
      </c>
      <c r="Z4">
        <f t="shared" si="9"/>
        <v>1.0201</v>
      </c>
      <c r="AA4">
        <f t="shared" ref="AA4:AA13" si="11">W4*X4</f>
        <v>-5.05</v>
      </c>
    </row>
    <row r="5" spans="1:27" x14ac:dyDescent="0.25">
      <c r="A5" s="2">
        <v>4</v>
      </c>
      <c r="B5">
        <v>72</v>
      </c>
      <c r="C5">
        <v>34</v>
      </c>
      <c r="D5">
        <f t="shared" si="0"/>
        <v>5184</v>
      </c>
      <c r="E5">
        <f t="shared" si="1"/>
        <v>1156</v>
      </c>
      <c r="F5">
        <f t="shared" si="2"/>
        <v>2448</v>
      </c>
      <c r="H5" s="2">
        <v>4</v>
      </c>
      <c r="I5">
        <v>20</v>
      </c>
      <c r="J5">
        <v>365</v>
      </c>
      <c r="K5">
        <f t="shared" si="3"/>
        <v>400</v>
      </c>
      <c r="L5">
        <f t="shared" si="4"/>
        <v>133225</v>
      </c>
      <c r="M5">
        <f t="shared" si="5"/>
        <v>7300</v>
      </c>
      <c r="O5" s="2">
        <v>4</v>
      </c>
      <c r="P5">
        <v>63</v>
      </c>
      <c r="Q5">
        <v>96</v>
      </c>
      <c r="R5">
        <f t="shared" si="6"/>
        <v>3969</v>
      </c>
      <c r="S5">
        <f t="shared" si="7"/>
        <v>9216</v>
      </c>
      <c r="T5">
        <f t="shared" si="8"/>
        <v>6048</v>
      </c>
      <c r="V5" s="2">
        <v>4</v>
      </c>
      <c r="W5">
        <v>-2</v>
      </c>
      <c r="X5">
        <v>1.03</v>
      </c>
      <c r="Y5">
        <f t="shared" si="10"/>
        <v>4</v>
      </c>
      <c r="Z5">
        <f t="shared" si="9"/>
        <v>1.0609</v>
      </c>
      <c r="AA5">
        <f t="shared" si="11"/>
        <v>-2.06</v>
      </c>
    </row>
    <row r="6" spans="1:27" x14ac:dyDescent="0.25">
      <c r="A6" s="2">
        <v>5</v>
      </c>
      <c r="B6">
        <v>81</v>
      </c>
      <c r="C6">
        <v>47</v>
      </c>
      <c r="D6">
        <f t="shared" si="0"/>
        <v>6561</v>
      </c>
      <c r="E6">
        <f t="shared" si="1"/>
        <v>2209</v>
      </c>
      <c r="F6">
        <f t="shared" si="2"/>
        <v>3807</v>
      </c>
      <c r="H6" s="2">
        <v>5</v>
      </c>
      <c r="I6">
        <v>30</v>
      </c>
      <c r="J6">
        <v>475</v>
      </c>
      <c r="K6">
        <f t="shared" si="3"/>
        <v>900</v>
      </c>
      <c r="L6">
        <f t="shared" si="4"/>
        <v>225625</v>
      </c>
      <c r="M6">
        <f t="shared" si="5"/>
        <v>14250</v>
      </c>
      <c r="O6" s="2">
        <v>5</v>
      </c>
      <c r="P6">
        <v>65</v>
      </c>
      <c r="Q6">
        <v>90</v>
      </c>
      <c r="R6">
        <f t="shared" si="6"/>
        <v>4225</v>
      </c>
      <c r="S6">
        <f t="shared" si="7"/>
        <v>8100</v>
      </c>
      <c r="T6">
        <f t="shared" si="8"/>
        <v>5850</v>
      </c>
      <c r="V6" s="2">
        <v>5</v>
      </c>
      <c r="W6">
        <v>0</v>
      </c>
      <c r="X6">
        <v>1.05</v>
      </c>
      <c r="Y6">
        <f t="shared" si="10"/>
        <v>0</v>
      </c>
      <c r="Z6">
        <f t="shared" si="9"/>
        <v>1.1025</v>
      </c>
      <c r="AA6">
        <f t="shared" si="11"/>
        <v>0</v>
      </c>
    </row>
    <row r="7" spans="1:27" x14ac:dyDescent="0.25">
      <c r="A7" s="2">
        <v>6</v>
      </c>
      <c r="B7">
        <v>94</v>
      </c>
      <c r="C7">
        <v>85</v>
      </c>
      <c r="D7">
        <f t="shared" si="0"/>
        <v>8836</v>
      </c>
      <c r="E7">
        <f t="shared" si="1"/>
        <v>7225</v>
      </c>
      <c r="F7">
        <f t="shared" si="2"/>
        <v>7990</v>
      </c>
      <c r="H7" s="2">
        <v>6</v>
      </c>
      <c r="I7">
        <v>50</v>
      </c>
      <c r="J7">
        <v>440</v>
      </c>
      <c r="K7">
        <f t="shared" si="3"/>
        <v>2500</v>
      </c>
      <c r="L7">
        <f t="shared" si="4"/>
        <v>193600</v>
      </c>
      <c r="M7">
        <f t="shared" si="5"/>
        <v>22000</v>
      </c>
      <c r="O7" s="2">
        <v>6</v>
      </c>
      <c r="P7">
        <v>66</v>
      </c>
      <c r="Q7">
        <v>85</v>
      </c>
      <c r="R7">
        <f t="shared" si="6"/>
        <v>4356</v>
      </c>
      <c r="S7">
        <f t="shared" si="7"/>
        <v>7225</v>
      </c>
      <c r="T7">
        <f t="shared" si="8"/>
        <v>5610</v>
      </c>
      <c r="V7" s="2">
        <v>6</v>
      </c>
      <c r="W7">
        <v>3</v>
      </c>
      <c r="X7">
        <v>1.1100000000000001</v>
      </c>
      <c r="Y7">
        <f t="shared" si="10"/>
        <v>9</v>
      </c>
      <c r="Z7">
        <f t="shared" si="9"/>
        <v>1.2321000000000002</v>
      </c>
      <c r="AA7">
        <f t="shared" si="11"/>
        <v>3.33</v>
      </c>
    </row>
    <row r="8" spans="1:27" x14ac:dyDescent="0.25">
      <c r="A8" s="2">
        <v>7</v>
      </c>
      <c r="B8">
        <v>96</v>
      </c>
      <c r="C8">
        <v>99</v>
      </c>
      <c r="D8">
        <f t="shared" si="0"/>
        <v>9216</v>
      </c>
      <c r="E8">
        <f t="shared" si="1"/>
        <v>9801</v>
      </c>
      <c r="F8">
        <f t="shared" si="2"/>
        <v>9504</v>
      </c>
      <c r="H8" s="2">
        <v>7</v>
      </c>
      <c r="I8">
        <v>40</v>
      </c>
      <c r="J8">
        <v>490</v>
      </c>
      <c r="K8">
        <f t="shared" si="3"/>
        <v>1600</v>
      </c>
      <c r="L8">
        <f t="shared" si="4"/>
        <v>240100</v>
      </c>
      <c r="M8">
        <f t="shared" si="5"/>
        <v>19600</v>
      </c>
      <c r="O8" s="2">
        <v>7</v>
      </c>
      <c r="P8">
        <v>67</v>
      </c>
      <c r="Q8">
        <v>84</v>
      </c>
      <c r="R8">
        <f t="shared" si="6"/>
        <v>4489</v>
      </c>
      <c r="S8">
        <f t="shared" si="7"/>
        <v>7056</v>
      </c>
      <c r="T8">
        <f t="shared" si="8"/>
        <v>5628</v>
      </c>
      <c r="V8" s="2">
        <v>7</v>
      </c>
      <c r="W8">
        <v>5</v>
      </c>
      <c r="X8">
        <v>1.1200000000000001</v>
      </c>
      <c r="Y8">
        <f t="shared" si="10"/>
        <v>25</v>
      </c>
      <c r="Z8">
        <f t="shared" si="9"/>
        <v>1.2544000000000002</v>
      </c>
      <c r="AA8">
        <f t="shared" si="11"/>
        <v>5.6000000000000005</v>
      </c>
    </row>
    <row r="9" spans="1:27" x14ac:dyDescent="0.25">
      <c r="A9" s="2">
        <v>8</v>
      </c>
      <c r="B9">
        <v>99</v>
      </c>
      <c r="C9">
        <v>99</v>
      </c>
      <c r="D9">
        <f t="shared" si="0"/>
        <v>9801</v>
      </c>
      <c r="E9">
        <f t="shared" si="1"/>
        <v>9801</v>
      </c>
      <c r="F9">
        <f t="shared" si="2"/>
        <v>9801</v>
      </c>
      <c r="H9" s="2">
        <v>8</v>
      </c>
      <c r="I9">
        <v>20</v>
      </c>
      <c r="J9">
        <v>420</v>
      </c>
      <c r="K9">
        <f t="shared" si="3"/>
        <v>400</v>
      </c>
      <c r="L9">
        <f t="shared" si="4"/>
        <v>176400</v>
      </c>
      <c r="M9">
        <f t="shared" si="5"/>
        <v>8400</v>
      </c>
      <c r="O9" s="2">
        <v>8</v>
      </c>
      <c r="P9">
        <v>70</v>
      </c>
      <c r="Q9">
        <v>80</v>
      </c>
      <c r="R9">
        <f t="shared" si="6"/>
        <v>4900</v>
      </c>
      <c r="S9">
        <f t="shared" si="7"/>
        <v>6400</v>
      </c>
      <c r="T9">
        <f t="shared" si="8"/>
        <v>5600</v>
      </c>
      <c r="V9" s="2">
        <v>8</v>
      </c>
      <c r="W9">
        <v>8</v>
      </c>
      <c r="X9">
        <v>1.1299999999999999</v>
      </c>
      <c r="Y9">
        <f t="shared" si="10"/>
        <v>64</v>
      </c>
      <c r="Z9">
        <f t="shared" si="9"/>
        <v>1.2768999999999997</v>
      </c>
      <c r="AA9">
        <f t="shared" si="11"/>
        <v>9.0399999999999991</v>
      </c>
    </row>
    <row r="10" spans="1:27" x14ac:dyDescent="0.25">
      <c r="A10" s="3">
        <v>9</v>
      </c>
      <c r="B10" s="1">
        <v>67</v>
      </c>
      <c r="C10" s="1">
        <v>68</v>
      </c>
      <c r="D10" s="1">
        <f t="shared" si="0"/>
        <v>4489</v>
      </c>
      <c r="E10" s="1">
        <f t="shared" si="1"/>
        <v>4624</v>
      </c>
      <c r="F10" s="1">
        <f t="shared" si="2"/>
        <v>4556</v>
      </c>
      <c r="H10" s="2">
        <v>9</v>
      </c>
      <c r="I10">
        <v>50</v>
      </c>
      <c r="J10">
        <v>560</v>
      </c>
      <c r="K10">
        <f t="shared" si="3"/>
        <v>2500</v>
      </c>
      <c r="L10">
        <f t="shared" si="4"/>
        <v>313600</v>
      </c>
      <c r="M10">
        <f t="shared" si="5"/>
        <v>28000</v>
      </c>
      <c r="O10" s="3">
        <v>9</v>
      </c>
      <c r="P10" s="4">
        <v>73</v>
      </c>
      <c r="Q10" s="1">
        <v>77</v>
      </c>
      <c r="R10" s="1">
        <f t="shared" si="6"/>
        <v>5329</v>
      </c>
      <c r="S10" s="1">
        <f t="shared" si="7"/>
        <v>5929</v>
      </c>
      <c r="T10" s="1">
        <f t="shared" si="8"/>
        <v>5621</v>
      </c>
      <c r="V10" s="2">
        <v>9</v>
      </c>
      <c r="W10">
        <v>11</v>
      </c>
      <c r="X10">
        <v>1.1200000000000001</v>
      </c>
      <c r="Y10">
        <f t="shared" si="10"/>
        <v>121</v>
      </c>
      <c r="Z10">
        <f t="shared" si="9"/>
        <v>1.2544000000000002</v>
      </c>
      <c r="AA10">
        <f t="shared" si="11"/>
        <v>12.32</v>
      </c>
    </row>
    <row r="11" spans="1:27" x14ac:dyDescent="0.25">
      <c r="A11" s="2" t="s">
        <v>6</v>
      </c>
      <c r="B11">
        <f>SUM(B2:B10)</f>
        <v>707</v>
      </c>
      <c r="C11">
        <f t="shared" ref="C11:F11" si="12">SUM(C2:C10)</f>
        <v>658</v>
      </c>
      <c r="D11">
        <f t="shared" si="12"/>
        <v>57557</v>
      </c>
      <c r="E11">
        <f t="shared" si="12"/>
        <v>51980</v>
      </c>
      <c r="F11">
        <f t="shared" si="12"/>
        <v>53258</v>
      </c>
      <c r="H11" s="2">
        <v>10</v>
      </c>
      <c r="I11">
        <v>40</v>
      </c>
      <c r="J11">
        <v>525</v>
      </c>
      <c r="K11">
        <f t="shared" si="3"/>
        <v>1600</v>
      </c>
      <c r="L11">
        <f t="shared" si="4"/>
        <v>275625</v>
      </c>
      <c r="M11">
        <f t="shared" si="5"/>
        <v>21000</v>
      </c>
      <c r="O11" s="2" t="s">
        <v>6</v>
      </c>
      <c r="P11">
        <f>SUM(P2:P10)</f>
        <v>575</v>
      </c>
      <c r="Q11">
        <f t="shared" ref="Q11" si="13">SUM(Q2:Q10)</f>
        <v>822</v>
      </c>
      <c r="R11">
        <f t="shared" ref="R11" si="14">SUM(R2:R10)</f>
        <v>37023</v>
      </c>
      <c r="S11">
        <f t="shared" ref="S11" si="15">SUM(S2:S10)</f>
        <v>76104</v>
      </c>
      <c r="T11">
        <f t="shared" ref="T11" si="16">SUM(T2:T10)</f>
        <v>51993</v>
      </c>
      <c r="V11" s="2">
        <v>10</v>
      </c>
      <c r="W11">
        <v>15</v>
      </c>
      <c r="X11">
        <v>1.1399999999999999</v>
      </c>
      <c r="Y11">
        <f t="shared" si="10"/>
        <v>225</v>
      </c>
      <c r="Z11">
        <f t="shared" si="9"/>
        <v>1.2995999999999999</v>
      </c>
      <c r="AA11">
        <f t="shared" si="11"/>
        <v>17.099999999999998</v>
      </c>
    </row>
    <row r="12" spans="1:27" x14ac:dyDescent="0.25">
      <c r="H12" s="2">
        <v>11</v>
      </c>
      <c r="I12">
        <v>25</v>
      </c>
      <c r="J12">
        <v>480</v>
      </c>
      <c r="K12">
        <f t="shared" si="3"/>
        <v>625</v>
      </c>
      <c r="L12">
        <f t="shared" si="4"/>
        <v>230400</v>
      </c>
      <c r="M12">
        <f t="shared" si="5"/>
        <v>12000</v>
      </c>
      <c r="V12" s="2">
        <v>11</v>
      </c>
      <c r="W12">
        <v>19</v>
      </c>
      <c r="X12">
        <v>1.1599999999999999</v>
      </c>
      <c r="Y12">
        <f t="shared" si="10"/>
        <v>361</v>
      </c>
      <c r="Z12">
        <f t="shared" si="9"/>
        <v>1.3455999999999999</v>
      </c>
      <c r="AA12">
        <f t="shared" si="11"/>
        <v>22.04</v>
      </c>
    </row>
    <row r="13" spans="1:27" x14ac:dyDescent="0.25">
      <c r="A13" t="s">
        <v>7</v>
      </c>
      <c r="B13">
        <f>(C11/A10)-(B14*(B11/A10))</f>
        <v>12.062321074653163</v>
      </c>
      <c r="H13" s="3">
        <v>12</v>
      </c>
      <c r="I13" s="1">
        <v>50</v>
      </c>
      <c r="J13" s="1">
        <v>510</v>
      </c>
      <c r="K13" s="1">
        <f t="shared" si="3"/>
        <v>2500</v>
      </c>
      <c r="L13" s="1">
        <f t="shared" si="4"/>
        <v>260100</v>
      </c>
      <c r="M13" s="1">
        <f t="shared" si="5"/>
        <v>25500</v>
      </c>
      <c r="O13" t="s">
        <v>7</v>
      </c>
      <c r="P13">
        <f>(Q11/O10)-(P14*(P11/O10))</f>
        <v>207.9515879163439</v>
      </c>
      <c r="V13" s="3">
        <v>12</v>
      </c>
      <c r="W13" s="1">
        <v>23</v>
      </c>
      <c r="X13" s="1">
        <v>1.19</v>
      </c>
      <c r="Y13" s="1">
        <f t="shared" si="10"/>
        <v>529</v>
      </c>
      <c r="Z13" s="1">
        <f t="shared" si="9"/>
        <v>1.4160999999999999</v>
      </c>
      <c r="AA13" s="1">
        <f t="shared" si="11"/>
        <v>27.369999999999997</v>
      </c>
    </row>
    <row r="14" spans="1:27" x14ac:dyDescent="0.25">
      <c r="A14" t="s">
        <v>8</v>
      </c>
      <c r="B14">
        <f xml:space="preserve"> ((A10 * F11)-(B11*C11))/((A10*D11)-(B11)^2)</f>
        <v>0.77714159876679145</v>
      </c>
      <c r="H14" s="2" t="s">
        <v>6</v>
      </c>
      <c r="I14">
        <f>SUM(I2:I13)</f>
        <v>410</v>
      </c>
      <c r="J14">
        <f t="shared" ref="J14:M14" si="17">SUM(J2:J13)</f>
        <v>5445</v>
      </c>
      <c r="K14">
        <f t="shared" si="17"/>
        <v>15650</v>
      </c>
      <c r="L14">
        <f t="shared" si="17"/>
        <v>2512925</v>
      </c>
      <c r="M14">
        <f t="shared" si="17"/>
        <v>191325</v>
      </c>
      <c r="O14" t="s">
        <v>8</v>
      </c>
      <c r="P14">
        <f xml:space="preserve"> ((O10 * T11)-(P11*Q11))/((O10*R11)-(P11)^2)</f>
        <v>-1.8253292021688614</v>
      </c>
      <c r="V14" s="2" t="s">
        <v>6</v>
      </c>
      <c r="W14">
        <f>SUM(W2:W13)</f>
        <v>56</v>
      </c>
      <c r="X14">
        <f t="shared" ref="X14" si="18">SUM(X2:X13)</f>
        <v>13.020000000000001</v>
      </c>
      <c r="Y14">
        <f t="shared" ref="Y14" si="19">SUM(Y2:Y13)</f>
        <v>1588</v>
      </c>
      <c r="Z14">
        <f t="shared" ref="Z14" si="20">SUM(Z2:Z13)</f>
        <v>14.1836</v>
      </c>
      <c r="AA14">
        <f t="shared" ref="AA14" si="21">SUM(AA2:AA13)</f>
        <v>69.139999999999986</v>
      </c>
    </row>
    <row r="15" spans="1:27" x14ac:dyDescent="0.25">
      <c r="A15" t="s">
        <v>9</v>
      </c>
      <c r="B15">
        <f>((A10*F11)-(B11*C11))/(SQRT((A10*D11)-(B11)^2)*SQRT((A10*E11)-(C11)^2))</f>
        <v>0.56100551367368512</v>
      </c>
      <c r="O15" t="s">
        <v>9</v>
      </c>
      <c r="P15">
        <f>((O10*T11)-(P11*Q11))/(SQRT((O10*R11)-(P11)^2)*SQRT((O10*S11)-(Q11)^2))</f>
        <v>-0.96427633541427027</v>
      </c>
    </row>
    <row r="16" spans="1:27" x14ac:dyDescent="0.25">
      <c r="A16" t="s">
        <v>10</v>
      </c>
      <c r="B16">
        <f>B15*B15</f>
        <v>0.31472718637227531</v>
      </c>
      <c r="H16" t="s">
        <v>7</v>
      </c>
      <c r="I16">
        <f>(J14/H13)-(I17*(I14/H13))</f>
        <v>343.70558375634516</v>
      </c>
      <c r="O16" t="s">
        <v>10</v>
      </c>
      <c r="P16">
        <f>P15*P15</f>
        <v>0.92982885103997426</v>
      </c>
      <c r="V16" t="s">
        <v>7</v>
      </c>
      <c r="W16">
        <f>(X14/V13)-(W17*(W14/V13))</f>
        <v>1.0555226130653268</v>
      </c>
    </row>
    <row r="17" spans="1:24" x14ac:dyDescent="0.25">
      <c r="A17" t="s">
        <v>11</v>
      </c>
      <c r="B17">
        <v>85</v>
      </c>
      <c r="C17">
        <f>B14*B17+B13</f>
        <v>78.119356969830449</v>
      </c>
      <c r="H17" t="s">
        <v>8</v>
      </c>
      <c r="I17">
        <f xml:space="preserve"> ((H13 * M14)-(I14*J14))/((H13*K14)-(I14)^2)</f>
        <v>3.2208121827411169</v>
      </c>
      <c r="O17" t="s">
        <v>11</v>
      </c>
      <c r="P17">
        <v>75</v>
      </c>
      <c r="Q17">
        <f>P14*P17+P13</f>
        <v>71.051897753679299</v>
      </c>
      <c r="V17" t="s">
        <v>8</v>
      </c>
      <c r="W17">
        <f xml:space="preserve"> ((V13 * AA14)-(W14*X14))/((V13*Y14)-(W14)^2)</f>
        <v>6.3165829145728465E-3</v>
      </c>
    </row>
    <row r="18" spans="1:24" x14ac:dyDescent="0.25">
      <c r="H18" t="s">
        <v>9</v>
      </c>
      <c r="I18">
        <f>((H13*M14)-(I14*J14))/(SQRT((H13*K14)-(I14)^2)*SQRT((H13*L14)-(J14)^2))</f>
        <v>0.63483726753312575</v>
      </c>
      <c r="V18" t="s">
        <v>9</v>
      </c>
      <c r="W18">
        <f>((V13*AA14)-(W14*X14))/(SQRT((V13*Y14)-(W14)^2)*SQRT((V13*Z14)-(X14)^2))</f>
        <v>0.96451053746127524</v>
      </c>
    </row>
    <row r="19" spans="1:24" x14ac:dyDescent="0.25">
      <c r="H19" t="s">
        <v>10</v>
      </c>
      <c r="I19">
        <f>I18*I18</f>
        <v>0.40301835624892546</v>
      </c>
      <c r="V19" t="s">
        <v>10</v>
      </c>
      <c r="W19">
        <f>W18*W18</f>
        <v>0.93028057687383803</v>
      </c>
    </row>
    <row r="20" spans="1:24" x14ac:dyDescent="0.25">
      <c r="H20" t="s">
        <v>11</v>
      </c>
      <c r="I20">
        <v>35</v>
      </c>
      <c r="J20">
        <f>I17*I20+I16</f>
        <v>456.43401015228426</v>
      </c>
      <c r="V20" t="s">
        <v>11</v>
      </c>
      <c r="W20">
        <v>-14</v>
      </c>
      <c r="X20">
        <f>W17*W20+W16</f>
        <v>0.96709045226130697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Anthony Hermawan</dc:creator>
  <cp:lastModifiedBy>Christian Anthony Hermawan</cp:lastModifiedBy>
  <dcterms:created xsi:type="dcterms:W3CDTF">2015-06-05T18:17:20Z</dcterms:created>
  <dcterms:modified xsi:type="dcterms:W3CDTF">2026-05-30T16:40:20Z</dcterms:modified>
</cp:coreProperties>
</file>