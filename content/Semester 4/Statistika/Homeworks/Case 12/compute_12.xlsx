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866855f1fd88c86/Dokumen/Obsidian/Catatan Kuliah/Statistika/Homeworks/Case 12/"/>
    </mc:Choice>
  </mc:AlternateContent>
  <xr:revisionPtr revIDLastSave="372" documentId="11_F25DC773A252ABDACC104849F95E55565BDE58F9" xr6:coauthVersionLast="47" xr6:coauthVersionMax="47" xr10:uidLastSave="{A2012912-B737-4097-8207-E30FE0C849AF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2" i="1" l="1"/>
  <c r="AE101" i="1"/>
  <c r="J108" i="1"/>
  <c r="O104" i="1"/>
  <c r="K102" i="1"/>
  <c r="K101" i="1"/>
  <c r="M99" i="1"/>
  <c r="L99" i="1"/>
  <c r="K99" i="1"/>
  <c r="J99" i="1"/>
  <c r="Q98" i="1"/>
  <c r="P98" i="1"/>
  <c r="O98" i="1"/>
  <c r="N98" i="1"/>
  <c r="M98" i="1"/>
  <c r="L98" i="1"/>
  <c r="Q97" i="1"/>
  <c r="P97" i="1"/>
  <c r="O97" i="1"/>
  <c r="N97" i="1"/>
  <c r="M97" i="1"/>
  <c r="L97" i="1"/>
  <c r="Q96" i="1"/>
  <c r="P96" i="1"/>
  <c r="O96" i="1"/>
  <c r="N96" i="1"/>
  <c r="M96" i="1"/>
  <c r="L96" i="1"/>
  <c r="Q95" i="1"/>
  <c r="P95" i="1"/>
  <c r="O95" i="1"/>
  <c r="N95" i="1"/>
  <c r="M95" i="1"/>
  <c r="L95" i="1"/>
  <c r="Q94" i="1"/>
  <c r="P94" i="1"/>
  <c r="O94" i="1"/>
  <c r="N94" i="1"/>
  <c r="M94" i="1"/>
  <c r="L94" i="1"/>
  <c r="Q93" i="1"/>
  <c r="P93" i="1"/>
  <c r="O93" i="1"/>
  <c r="N93" i="1"/>
  <c r="M93" i="1"/>
  <c r="L93" i="1"/>
  <c r="Q92" i="1"/>
  <c r="P92" i="1"/>
  <c r="O92" i="1"/>
  <c r="N92" i="1"/>
  <c r="M92" i="1"/>
  <c r="L92" i="1"/>
  <c r="Q91" i="1"/>
  <c r="P91" i="1"/>
  <c r="O91" i="1"/>
  <c r="N91" i="1"/>
  <c r="M91" i="1"/>
  <c r="L91" i="1"/>
  <c r="Q90" i="1"/>
  <c r="P90" i="1"/>
  <c r="O90" i="1"/>
  <c r="N90" i="1"/>
  <c r="M90" i="1"/>
  <c r="L90" i="1"/>
  <c r="Q89" i="1"/>
  <c r="P89" i="1"/>
  <c r="O89" i="1"/>
  <c r="N89" i="1"/>
  <c r="M89" i="1"/>
  <c r="L89" i="1"/>
  <c r="Q88" i="1"/>
  <c r="P88" i="1"/>
  <c r="O88" i="1"/>
  <c r="N88" i="1"/>
  <c r="M88" i="1"/>
  <c r="L88" i="1"/>
  <c r="Q87" i="1"/>
  <c r="K105" i="1" s="1"/>
  <c r="K106" i="1" s="1"/>
  <c r="P87" i="1"/>
  <c r="P99" i="1" s="1"/>
  <c r="O87" i="1"/>
  <c r="O99" i="1" s="1"/>
  <c r="N87" i="1"/>
  <c r="N99" i="1" s="1"/>
  <c r="M87" i="1"/>
  <c r="L87" i="1"/>
  <c r="T108" i="1"/>
  <c r="U99" i="1"/>
  <c r="T99" i="1"/>
  <c r="W98" i="1"/>
  <c r="Y98" i="1" s="1"/>
  <c r="V98" i="1"/>
  <c r="Z98" i="1" s="1"/>
  <c r="W97" i="1"/>
  <c r="Y97" i="1" s="1"/>
  <c r="V97" i="1"/>
  <c r="X97" i="1" s="1"/>
  <c r="W96" i="1"/>
  <c r="Y96" i="1" s="1"/>
  <c r="V96" i="1"/>
  <c r="Z96" i="1" s="1"/>
  <c r="W95" i="1"/>
  <c r="Y95" i="1" s="1"/>
  <c r="V95" i="1"/>
  <c r="X95" i="1" s="1"/>
  <c r="W94" i="1"/>
  <c r="Y94" i="1" s="1"/>
  <c r="V94" i="1"/>
  <c r="Z94" i="1" s="1"/>
  <c r="W93" i="1"/>
  <c r="Y93" i="1" s="1"/>
  <c r="V93" i="1"/>
  <c r="X93" i="1" s="1"/>
  <c r="W92" i="1"/>
  <c r="Y92" i="1" s="1"/>
  <c r="V92" i="1"/>
  <c r="Z92" i="1" s="1"/>
  <c r="W91" i="1"/>
  <c r="Y91" i="1" s="1"/>
  <c r="V91" i="1"/>
  <c r="X91" i="1" s="1"/>
  <c r="W90" i="1"/>
  <c r="Y90" i="1" s="1"/>
  <c r="V90" i="1"/>
  <c r="X90" i="1" s="1"/>
  <c r="W89" i="1"/>
  <c r="Y89" i="1" s="1"/>
  <c r="V89" i="1"/>
  <c r="Z89" i="1" s="1"/>
  <c r="W88" i="1"/>
  <c r="Y88" i="1" s="1"/>
  <c r="V88" i="1"/>
  <c r="X88" i="1" s="1"/>
  <c r="W87" i="1"/>
  <c r="U102" i="1" s="1"/>
  <c r="V87" i="1"/>
  <c r="V99" i="1" s="1"/>
  <c r="AE102" i="1"/>
  <c r="AK88" i="1"/>
  <c r="AK89" i="1"/>
  <c r="AK90" i="1"/>
  <c r="AK91" i="1"/>
  <c r="AK92" i="1"/>
  <c r="AK93" i="1"/>
  <c r="AK94" i="1"/>
  <c r="AK95" i="1"/>
  <c r="AK96" i="1"/>
  <c r="AE105" i="1" s="1"/>
  <c r="AE106" i="1" s="1"/>
  <c r="AK97" i="1"/>
  <c r="AK98" i="1"/>
  <c r="AK87" i="1"/>
  <c r="AI104" i="1"/>
  <c r="AG88" i="1"/>
  <c r="AI88" i="1" s="1"/>
  <c r="AG89" i="1"/>
  <c r="AI89" i="1" s="1"/>
  <c r="AG90" i="1"/>
  <c r="AG91" i="1"/>
  <c r="AG92" i="1"/>
  <c r="AG93" i="1"/>
  <c r="AG94" i="1"/>
  <c r="AI94" i="1" s="1"/>
  <c r="AG95" i="1"/>
  <c r="AI95" i="1" s="1"/>
  <c r="AG96" i="1"/>
  <c r="AG97" i="1"/>
  <c r="AG98" i="1"/>
  <c r="AG87" i="1"/>
  <c r="AE99" i="1"/>
  <c r="AD99" i="1"/>
  <c r="AH98" i="1"/>
  <c r="AI98" i="1"/>
  <c r="AF98" i="1"/>
  <c r="AJ98" i="1" s="1"/>
  <c r="AH97" i="1"/>
  <c r="AI97" i="1"/>
  <c r="AF97" i="1"/>
  <c r="AH96" i="1"/>
  <c r="AI96" i="1"/>
  <c r="AF96" i="1"/>
  <c r="AJ96" i="1" s="1"/>
  <c r="AH95" i="1"/>
  <c r="AF95" i="1"/>
  <c r="AH94" i="1"/>
  <c r="AF94" i="1"/>
  <c r="AH93" i="1"/>
  <c r="AI93" i="1"/>
  <c r="AF93" i="1"/>
  <c r="AH92" i="1"/>
  <c r="AI92" i="1"/>
  <c r="AF92" i="1"/>
  <c r="AJ92" i="1" s="1"/>
  <c r="AH91" i="1"/>
  <c r="AI91" i="1"/>
  <c r="AF91" i="1"/>
  <c r="AH90" i="1"/>
  <c r="AI90" i="1"/>
  <c r="AF90" i="1"/>
  <c r="AJ90" i="1" s="1"/>
  <c r="AH89" i="1"/>
  <c r="AF89" i="1"/>
  <c r="AH88" i="1"/>
  <c r="AF88" i="1"/>
  <c r="AH87" i="1"/>
  <c r="AH99" i="1" s="1"/>
  <c r="AF87" i="1"/>
  <c r="AK47" i="1"/>
  <c r="AK48" i="1"/>
  <c r="AK49" i="1"/>
  <c r="AK50" i="1"/>
  <c r="AK51" i="1"/>
  <c r="AK52" i="1"/>
  <c r="AK53" i="1"/>
  <c r="AK54" i="1"/>
  <c r="AK55" i="1"/>
  <c r="AK56" i="1"/>
  <c r="AK57" i="1"/>
  <c r="AK46" i="1"/>
  <c r="AI63" i="1"/>
  <c r="AF47" i="1"/>
  <c r="AF48" i="1"/>
  <c r="AF49" i="1"/>
  <c r="AF50" i="1"/>
  <c r="AF51" i="1"/>
  <c r="AH51" i="1" s="1"/>
  <c r="AF52" i="1"/>
  <c r="AH52" i="1" s="1"/>
  <c r="AF53" i="1"/>
  <c r="AF54" i="1"/>
  <c r="AF55" i="1"/>
  <c r="AF56" i="1"/>
  <c r="AF57" i="1"/>
  <c r="AH57" i="1" s="1"/>
  <c r="AF46" i="1"/>
  <c r="AE58" i="1"/>
  <c r="AD58" i="1"/>
  <c r="AG57" i="1"/>
  <c r="AI57" i="1" s="1"/>
  <c r="AG56" i="1"/>
  <c r="AI56" i="1" s="1"/>
  <c r="AH56" i="1"/>
  <c r="AG55" i="1"/>
  <c r="AI55" i="1" s="1"/>
  <c r="AH55" i="1"/>
  <c r="AG54" i="1"/>
  <c r="AI54" i="1" s="1"/>
  <c r="AH54" i="1"/>
  <c r="AG53" i="1"/>
  <c r="AI53" i="1" s="1"/>
  <c r="AH53" i="1"/>
  <c r="AG52" i="1"/>
  <c r="AI52" i="1" s="1"/>
  <c r="AG51" i="1"/>
  <c r="AI51" i="1" s="1"/>
  <c r="AG50" i="1"/>
  <c r="AI50" i="1" s="1"/>
  <c r="AH50" i="1"/>
  <c r="AG49" i="1"/>
  <c r="AI49" i="1" s="1"/>
  <c r="AH49" i="1"/>
  <c r="AG48" i="1"/>
  <c r="AI48" i="1" s="1"/>
  <c r="AH48" i="1"/>
  <c r="AG47" i="1"/>
  <c r="AI47" i="1" s="1"/>
  <c r="AH47" i="1"/>
  <c r="AG46" i="1"/>
  <c r="AG58" i="1" s="1"/>
  <c r="Q47" i="1"/>
  <c r="Q48" i="1"/>
  <c r="Q49" i="1"/>
  <c r="Q50" i="1"/>
  <c r="Q51" i="1"/>
  <c r="Q52" i="1"/>
  <c r="Q53" i="1"/>
  <c r="Q54" i="1"/>
  <c r="Q55" i="1"/>
  <c r="Q56" i="1"/>
  <c r="Q57" i="1"/>
  <c r="Q46" i="1"/>
  <c r="O63" i="1"/>
  <c r="AA47" i="1"/>
  <c r="U64" i="1" s="1"/>
  <c r="U65" i="1" s="1"/>
  <c r="AA48" i="1"/>
  <c r="AA49" i="1"/>
  <c r="AA50" i="1"/>
  <c r="AA51" i="1"/>
  <c r="AA52" i="1"/>
  <c r="AA53" i="1"/>
  <c r="AA54" i="1"/>
  <c r="AA55" i="1"/>
  <c r="AA56" i="1"/>
  <c r="AA57" i="1"/>
  <c r="AA46" i="1"/>
  <c r="Y63" i="1"/>
  <c r="Q6" i="1"/>
  <c r="Q7" i="1"/>
  <c r="Q8" i="1"/>
  <c r="Q9" i="1"/>
  <c r="Q10" i="1"/>
  <c r="Q11" i="1"/>
  <c r="Q12" i="1"/>
  <c r="Q13" i="1"/>
  <c r="Q14" i="1"/>
  <c r="Q15" i="1"/>
  <c r="Q16" i="1"/>
  <c r="Q5" i="1"/>
  <c r="O22" i="1"/>
  <c r="W61" i="1"/>
  <c r="W47" i="1"/>
  <c r="Z47" i="1" s="1"/>
  <c r="W48" i="1"/>
  <c r="Z48" i="1" s="1"/>
  <c r="W49" i="1"/>
  <c r="W50" i="1"/>
  <c r="Z50" i="1" s="1"/>
  <c r="W51" i="1"/>
  <c r="W52" i="1"/>
  <c r="W53" i="1"/>
  <c r="Z53" i="1" s="1"/>
  <c r="W54" i="1"/>
  <c r="Z54" i="1" s="1"/>
  <c r="W55" i="1"/>
  <c r="W56" i="1"/>
  <c r="Z56" i="1" s="1"/>
  <c r="W57" i="1"/>
  <c r="W46" i="1"/>
  <c r="U58" i="1"/>
  <c r="T58" i="1"/>
  <c r="Z57" i="1"/>
  <c r="Y57" i="1"/>
  <c r="V57" i="1"/>
  <c r="X57" i="1" s="1"/>
  <c r="Y56" i="1"/>
  <c r="V56" i="1"/>
  <c r="X56" i="1" s="1"/>
  <c r="Z55" i="1"/>
  <c r="Y55" i="1"/>
  <c r="V55" i="1"/>
  <c r="X55" i="1" s="1"/>
  <c r="V54" i="1"/>
  <c r="X54" i="1" s="1"/>
  <c r="V53" i="1"/>
  <c r="X53" i="1" s="1"/>
  <c r="Z52" i="1"/>
  <c r="Y52" i="1"/>
  <c r="V52" i="1"/>
  <c r="X52" i="1" s="1"/>
  <c r="Z51" i="1"/>
  <c r="Y51" i="1"/>
  <c r="V51" i="1"/>
  <c r="X51" i="1" s="1"/>
  <c r="Y50" i="1"/>
  <c r="V50" i="1"/>
  <c r="X50" i="1" s="1"/>
  <c r="Z49" i="1"/>
  <c r="Y49" i="1"/>
  <c r="V49" i="1"/>
  <c r="X49" i="1" s="1"/>
  <c r="V48" i="1"/>
  <c r="X48" i="1" s="1"/>
  <c r="V47" i="1"/>
  <c r="X47" i="1" s="1"/>
  <c r="Z46" i="1"/>
  <c r="V46" i="1"/>
  <c r="V58" i="1" s="1"/>
  <c r="M61" i="1"/>
  <c r="M60" i="1"/>
  <c r="L47" i="1"/>
  <c r="L48" i="1"/>
  <c r="N48" i="1" s="1"/>
  <c r="L49" i="1"/>
  <c r="N49" i="1" s="1"/>
  <c r="L50" i="1"/>
  <c r="L51" i="1"/>
  <c r="L52" i="1"/>
  <c r="L53" i="1"/>
  <c r="P53" i="1" s="1"/>
  <c r="L54" i="1"/>
  <c r="L55" i="1"/>
  <c r="N55" i="1" s="1"/>
  <c r="L56" i="1"/>
  <c r="N56" i="1" s="1"/>
  <c r="L57" i="1"/>
  <c r="L46" i="1"/>
  <c r="M47" i="1"/>
  <c r="O47" i="1" s="1"/>
  <c r="M48" i="1"/>
  <c r="M49" i="1"/>
  <c r="P49" i="1" s="1"/>
  <c r="M50" i="1"/>
  <c r="M51" i="1"/>
  <c r="M52" i="1"/>
  <c r="M53" i="1"/>
  <c r="O53" i="1" s="1"/>
  <c r="M54" i="1"/>
  <c r="P54" i="1" s="1"/>
  <c r="M55" i="1"/>
  <c r="P55" i="1" s="1"/>
  <c r="M56" i="1"/>
  <c r="M57" i="1"/>
  <c r="M46" i="1"/>
  <c r="K58" i="1"/>
  <c r="J58" i="1"/>
  <c r="P57" i="1"/>
  <c r="O57" i="1"/>
  <c r="N57" i="1"/>
  <c r="P56" i="1"/>
  <c r="O56" i="1"/>
  <c r="N54" i="1"/>
  <c r="N53" i="1"/>
  <c r="P52" i="1"/>
  <c r="O52" i="1"/>
  <c r="N52" i="1"/>
  <c r="P51" i="1"/>
  <c r="O51" i="1"/>
  <c r="N51" i="1"/>
  <c r="P50" i="1"/>
  <c r="O50" i="1"/>
  <c r="N50" i="1"/>
  <c r="P47" i="1"/>
  <c r="N47" i="1"/>
  <c r="P46" i="1"/>
  <c r="L58" i="1"/>
  <c r="AK6" i="1"/>
  <c r="AK7" i="1"/>
  <c r="AK8" i="1"/>
  <c r="AK9" i="1"/>
  <c r="AK10" i="1"/>
  <c r="AK11" i="1"/>
  <c r="AK12" i="1"/>
  <c r="AK13" i="1"/>
  <c r="AK14" i="1"/>
  <c r="AK15" i="1"/>
  <c r="AK16" i="1"/>
  <c r="AK5" i="1"/>
  <c r="AI22" i="1"/>
  <c r="AG20" i="1"/>
  <c r="AG19" i="1"/>
  <c r="AE17" i="1"/>
  <c r="AD17" i="1"/>
  <c r="AG16" i="1"/>
  <c r="AI16" i="1" s="1"/>
  <c r="AF16" i="1"/>
  <c r="AJ16" i="1" s="1"/>
  <c r="AG15" i="1"/>
  <c r="AI15" i="1" s="1"/>
  <c r="AF15" i="1"/>
  <c r="AH15" i="1" s="1"/>
  <c r="AG14" i="1"/>
  <c r="AI14" i="1" s="1"/>
  <c r="AF14" i="1"/>
  <c r="AJ14" i="1" s="1"/>
  <c r="AG13" i="1"/>
  <c r="AI13" i="1" s="1"/>
  <c r="AF13" i="1"/>
  <c r="AJ13" i="1" s="1"/>
  <c r="AG12" i="1"/>
  <c r="AI12" i="1" s="1"/>
  <c r="AF12" i="1"/>
  <c r="AH12" i="1" s="1"/>
  <c r="AG11" i="1"/>
  <c r="AI11" i="1" s="1"/>
  <c r="AF11" i="1"/>
  <c r="AJ11" i="1" s="1"/>
  <c r="AG10" i="1"/>
  <c r="AI10" i="1" s="1"/>
  <c r="AF10" i="1"/>
  <c r="AH10" i="1" s="1"/>
  <c r="AG9" i="1"/>
  <c r="AI9" i="1" s="1"/>
  <c r="AF9" i="1"/>
  <c r="AJ9" i="1" s="1"/>
  <c r="AG8" i="1"/>
  <c r="AI8" i="1" s="1"/>
  <c r="AF8" i="1"/>
  <c r="AH8" i="1" s="1"/>
  <c r="AG7" i="1"/>
  <c r="AI7" i="1" s="1"/>
  <c r="AF7" i="1"/>
  <c r="AJ7" i="1" s="1"/>
  <c r="AG6" i="1"/>
  <c r="AI6" i="1" s="1"/>
  <c r="AF6" i="1"/>
  <c r="AH6" i="1" s="1"/>
  <c r="AG5" i="1"/>
  <c r="AG17" i="1" s="1"/>
  <c r="AF5" i="1"/>
  <c r="AF17" i="1" s="1"/>
  <c r="W19" i="1"/>
  <c r="Y22" i="1"/>
  <c r="U17" i="1"/>
  <c r="T17" i="1"/>
  <c r="W16" i="1"/>
  <c r="Y16" i="1" s="1"/>
  <c r="V16" i="1"/>
  <c r="Z16" i="1" s="1"/>
  <c r="W15" i="1"/>
  <c r="Y15" i="1" s="1"/>
  <c r="V15" i="1"/>
  <c r="X15" i="1" s="1"/>
  <c r="W14" i="1"/>
  <c r="Y14" i="1" s="1"/>
  <c r="V14" i="1"/>
  <c r="Z14" i="1" s="1"/>
  <c r="W13" i="1"/>
  <c r="Y13" i="1" s="1"/>
  <c r="V13" i="1"/>
  <c r="X13" i="1" s="1"/>
  <c r="W12" i="1"/>
  <c r="Y12" i="1" s="1"/>
  <c r="V12" i="1"/>
  <c r="Z12" i="1" s="1"/>
  <c r="W11" i="1"/>
  <c r="Y11" i="1" s="1"/>
  <c r="V11" i="1"/>
  <c r="Z11" i="1" s="1"/>
  <c r="W10" i="1"/>
  <c r="Y10" i="1" s="1"/>
  <c r="V10" i="1"/>
  <c r="X10" i="1" s="1"/>
  <c r="W9" i="1"/>
  <c r="Y9" i="1" s="1"/>
  <c r="V9" i="1"/>
  <c r="Z9" i="1" s="1"/>
  <c r="W8" i="1"/>
  <c r="Y8" i="1" s="1"/>
  <c r="V8" i="1"/>
  <c r="Z8" i="1" s="1"/>
  <c r="W7" i="1"/>
  <c r="Y7" i="1" s="1"/>
  <c r="V7" i="1"/>
  <c r="X7" i="1" s="1"/>
  <c r="W6" i="1"/>
  <c r="Y6" i="1" s="1"/>
  <c r="V6" i="1"/>
  <c r="Z6" i="1" s="1"/>
  <c r="W5" i="1"/>
  <c r="W17" i="1" s="1"/>
  <c r="V5" i="1"/>
  <c r="Z5" i="1" s="1"/>
  <c r="G6" i="1"/>
  <c r="G7" i="1"/>
  <c r="G8" i="1"/>
  <c r="G9" i="1"/>
  <c r="G10" i="1"/>
  <c r="G11" i="1"/>
  <c r="G12" i="1"/>
  <c r="G13" i="1"/>
  <c r="G14" i="1"/>
  <c r="G15" i="1"/>
  <c r="G16" i="1"/>
  <c r="G5" i="1"/>
  <c r="F22" i="1"/>
  <c r="J101" i="1" l="1"/>
  <c r="J102" i="1" s="1"/>
  <c r="J105" i="1"/>
  <c r="J106" i="1" s="1"/>
  <c r="X87" i="1"/>
  <c r="X89" i="1"/>
  <c r="X92" i="1"/>
  <c r="X94" i="1"/>
  <c r="X96" i="1"/>
  <c r="X98" i="1"/>
  <c r="Y87" i="1"/>
  <c r="Y99" i="1" s="1"/>
  <c r="W99" i="1"/>
  <c r="U101" i="1"/>
  <c r="Z87" i="1"/>
  <c r="Z88" i="1"/>
  <c r="Z90" i="1"/>
  <c r="Z91" i="1"/>
  <c r="Z93" i="1"/>
  <c r="Z95" i="1"/>
  <c r="Z97" i="1"/>
  <c r="AJ89" i="1"/>
  <c r="AG99" i="1"/>
  <c r="AJ88" i="1"/>
  <c r="AJ91" i="1"/>
  <c r="AJ94" i="1"/>
  <c r="AJ97" i="1"/>
  <c r="AJ95" i="1"/>
  <c r="AJ93" i="1"/>
  <c r="AJ87" i="1"/>
  <c r="AF99" i="1"/>
  <c r="AI87" i="1"/>
  <c r="AI99" i="1" s="1"/>
  <c r="AF58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I46" i="1"/>
  <c r="AI58" i="1" s="1"/>
  <c r="AH46" i="1"/>
  <c r="AH58" i="1" s="1"/>
  <c r="K64" i="1"/>
  <c r="K65" i="1" s="1"/>
  <c r="Y48" i="1"/>
  <c r="Y54" i="1"/>
  <c r="W58" i="1"/>
  <c r="Z58" i="1"/>
  <c r="Y47" i="1"/>
  <c r="Y53" i="1"/>
  <c r="X46" i="1"/>
  <c r="X58" i="1" s="1"/>
  <c r="T60" i="1" s="1"/>
  <c r="Y46" i="1"/>
  <c r="P48" i="1"/>
  <c r="P58" i="1"/>
  <c r="O49" i="1"/>
  <c r="O55" i="1"/>
  <c r="O48" i="1"/>
  <c r="O54" i="1"/>
  <c r="M58" i="1"/>
  <c r="O46" i="1"/>
  <c r="N46" i="1"/>
  <c r="N58" i="1" s="1"/>
  <c r="J60" i="1" s="1"/>
  <c r="AH5" i="1"/>
  <c r="AH7" i="1"/>
  <c r="AH9" i="1"/>
  <c r="AH11" i="1"/>
  <c r="AH13" i="1"/>
  <c r="AH14" i="1"/>
  <c r="AH16" i="1"/>
  <c r="AJ5" i="1"/>
  <c r="AJ6" i="1"/>
  <c r="AJ8" i="1"/>
  <c r="AJ10" i="1"/>
  <c r="AJ12" i="1"/>
  <c r="AJ15" i="1"/>
  <c r="AI5" i="1"/>
  <c r="AI17" i="1" s="1"/>
  <c r="AA10" i="1"/>
  <c r="AA9" i="1"/>
  <c r="AA13" i="1"/>
  <c r="AA7" i="1"/>
  <c r="AA15" i="1"/>
  <c r="AA8" i="1"/>
  <c r="AA12" i="1"/>
  <c r="AA6" i="1"/>
  <c r="AA16" i="1"/>
  <c r="AA14" i="1"/>
  <c r="AA5" i="1"/>
  <c r="U23" i="1" s="1"/>
  <c r="U24" i="1" s="1"/>
  <c r="AA11" i="1"/>
  <c r="X5" i="1"/>
  <c r="X6" i="1"/>
  <c r="X8" i="1"/>
  <c r="X9" i="1"/>
  <c r="X11" i="1"/>
  <c r="X12" i="1"/>
  <c r="X14" i="1"/>
  <c r="X16" i="1"/>
  <c r="V17" i="1"/>
  <c r="Z7" i="1"/>
  <c r="Z17" i="1" s="1"/>
  <c r="Z10" i="1"/>
  <c r="Z13" i="1"/>
  <c r="Z15" i="1"/>
  <c r="Y5" i="1"/>
  <c r="Y17" i="1" s="1"/>
  <c r="Z99" i="1" l="1"/>
  <c r="X99" i="1"/>
  <c r="AJ99" i="1"/>
  <c r="AD105" i="1" s="1"/>
  <c r="AD106" i="1" s="1"/>
  <c r="AD101" i="1"/>
  <c r="AJ58" i="1"/>
  <c r="Y58" i="1"/>
  <c r="W60" i="1"/>
  <c r="T61" i="1"/>
  <c r="T64" i="1"/>
  <c r="T65" i="1" s="1"/>
  <c r="O58" i="1"/>
  <c r="J64" i="1" s="1"/>
  <c r="J65" i="1" s="1"/>
  <c r="J61" i="1"/>
  <c r="AJ17" i="1"/>
  <c r="AH17" i="1"/>
  <c r="X17" i="1"/>
  <c r="T19" i="1" s="1"/>
  <c r="T105" i="1" l="1"/>
  <c r="T106" i="1" s="1"/>
  <c r="T101" i="1"/>
  <c r="AG101" i="1"/>
  <c r="AD102" i="1"/>
  <c r="AD64" i="1"/>
  <c r="AD65" i="1" s="1"/>
  <c r="AD60" i="1"/>
  <c r="AD19" i="1"/>
  <c r="AD23" i="1"/>
  <c r="AD24" i="1" s="1"/>
  <c r="T20" i="1"/>
  <c r="W20" i="1" s="1"/>
  <c r="T23" i="1"/>
  <c r="T24" i="1" s="1"/>
  <c r="P6" i="1"/>
  <c r="P12" i="1"/>
  <c r="M6" i="1"/>
  <c r="O6" i="1" s="1"/>
  <c r="M7" i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5" i="1"/>
  <c r="O5" i="1" s="1"/>
  <c r="L6" i="1"/>
  <c r="N6" i="1" s="1"/>
  <c r="L7" i="1"/>
  <c r="L8" i="1"/>
  <c r="N8" i="1" s="1"/>
  <c r="L9" i="1"/>
  <c r="N9" i="1" s="1"/>
  <c r="L10" i="1"/>
  <c r="N10" i="1" s="1"/>
  <c r="L11" i="1"/>
  <c r="N11" i="1" s="1"/>
  <c r="L12" i="1"/>
  <c r="N12" i="1" s="1"/>
  <c r="L13" i="1"/>
  <c r="P13" i="1" s="1"/>
  <c r="L14" i="1"/>
  <c r="N14" i="1" s="1"/>
  <c r="L15" i="1"/>
  <c r="N15" i="1" s="1"/>
  <c r="L16" i="1"/>
  <c r="N16" i="1" s="1"/>
  <c r="L5" i="1"/>
  <c r="P5" i="1" s="1"/>
  <c r="K17" i="1"/>
  <c r="J17" i="1"/>
  <c r="C17" i="1"/>
  <c r="B17" i="1"/>
  <c r="F6" i="1"/>
  <c r="F7" i="1"/>
  <c r="F17" i="1" s="1"/>
  <c r="F8" i="1"/>
  <c r="F9" i="1"/>
  <c r="F10" i="1"/>
  <c r="F11" i="1"/>
  <c r="F12" i="1"/>
  <c r="F13" i="1"/>
  <c r="F14" i="1"/>
  <c r="F15" i="1"/>
  <c r="F16" i="1"/>
  <c r="F5" i="1"/>
  <c r="E6" i="1"/>
  <c r="E7" i="1"/>
  <c r="E8" i="1"/>
  <c r="E9" i="1"/>
  <c r="E17" i="1" s="1"/>
  <c r="E10" i="1"/>
  <c r="E11" i="1"/>
  <c r="E12" i="1"/>
  <c r="E13" i="1"/>
  <c r="E14" i="1"/>
  <c r="E15" i="1"/>
  <c r="E16" i="1"/>
  <c r="E5" i="1"/>
  <c r="D6" i="1"/>
  <c r="D7" i="1"/>
  <c r="D8" i="1"/>
  <c r="D17" i="1" s="1"/>
  <c r="D9" i="1"/>
  <c r="D10" i="1"/>
  <c r="D11" i="1"/>
  <c r="D12" i="1"/>
  <c r="D13" i="1"/>
  <c r="D14" i="1"/>
  <c r="D15" i="1"/>
  <c r="D16" i="1"/>
  <c r="D5" i="1"/>
  <c r="T102" i="1" l="1"/>
  <c r="AG60" i="1"/>
  <c r="AD61" i="1"/>
  <c r="AG61" i="1" s="1"/>
  <c r="AD20" i="1"/>
  <c r="P10" i="1"/>
  <c r="P11" i="1"/>
  <c r="L17" i="1"/>
  <c r="M17" i="1"/>
  <c r="P16" i="1"/>
  <c r="B22" i="1"/>
  <c r="B23" i="1" s="1"/>
  <c r="B19" i="1"/>
  <c r="B20" i="1"/>
  <c r="N13" i="1"/>
  <c r="O7" i="1"/>
  <c r="O17" i="1" s="1"/>
  <c r="P15" i="1"/>
  <c r="P9" i="1"/>
  <c r="N7" i="1"/>
  <c r="N5" i="1"/>
  <c r="P14" i="1"/>
  <c r="P8" i="1"/>
  <c r="P7" i="1"/>
  <c r="AA98" i="1" l="1"/>
  <c r="AA97" i="1"/>
  <c r="AA96" i="1"/>
  <c r="AA95" i="1"/>
  <c r="AA94" i="1"/>
  <c r="AA93" i="1"/>
  <c r="AA92" i="1"/>
  <c r="AA91" i="1"/>
  <c r="AA90" i="1"/>
  <c r="AA89" i="1"/>
  <c r="AA88" i="1"/>
  <c r="AA87" i="1"/>
  <c r="U105" i="1" s="1"/>
  <c r="U106" i="1" s="1"/>
  <c r="Y104" i="1"/>
  <c r="AE23" i="1"/>
  <c r="AE24" i="1" s="1"/>
  <c r="P17" i="1"/>
  <c r="N17" i="1"/>
  <c r="AE64" i="1" l="1"/>
  <c r="AE65" i="1" s="1"/>
  <c r="J23" i="1"/>
  <c r="J24" i="1" s="1"/>
  <c r="J19" i="1"/>
  <c r="M19" i="1" s="1"/>
  <c r="J20" i="1" l="1"/>
  <c r="M20" i="1" s="1"/>
  <c r="K23" i="1" l="1"/>
  <c r="K24" i="1" s="1"/>
</calcChain>
</file>

<file path=xl/sharedStrings.xml><?xml version="1.0" encoding="utf-8"?>
<sst xmlns="http://schemas.openxmlformats.org/spreadsheetml/2006/main" count="206" uniqueCount="49">
  <si>
    <t>No.</t>
  </si>
  <si>
    <t>x</t>
  </si>
  <si>
    <t>y</t>
  </si>
  <si>
    <t>x^2</t>
  </si>
  <si>
    <t>y^2</t>
  </si>
  <si>
    <t>xy</t>
  </si>
  <si>
    <t>TOTAL</t>
  </si>
  <si>
    <t>Linear Regression</t>
  </si>
  <si>
    <t>y = A + Bx</t>
  </si>
  <si>
    <t>A =</t>
  </si>
  <si>
    <t>B =</t>
  </si>
  <si>
    <t xml:space="preserve">r = </t>
  </si>
  <si>
    <t xml:space="preserve">r^2 = </t>
  </si>
  <si>
    <t>x_pred</t>
  </si>
  <si>
    <t>No</t>
  </si>
  <si>
    <t>(jam)</t>
  </si>
  <si>
    <t>(jumlah)</t>
  </si>
  <si>
    <t>X = x</t>
  </si>
  <si>
    <t>Y = ln y</t>
  </si>
  <si>
    <t>X^2</t>
  </si>
  <si>
    <t>Y^2</t>
  </si>
  <si>
    <t>XY</t>
  </si>
  <si>
    <t>Exponential (e) regression</t>
  </si>
  <si>
    <t>y = Ae^(Bx)</t>
  </si>
  <si>
    <t>C =</t>
  </si>
  <si>
    <t>D =</t>
  </si>
  <si>
    <t>B=</t>
  </si>
  <si>
    <t>A=</t>
  </si>
  <si>
    <t>Tipe I</t>
  </si>
  <si>
    <t>Tipe II</t>
  </si>
  <si>
    <t>y_pred</t>
  </si>
  <si>
    <t>Exponential (2) regression</t>
  </si>
  <si>
    <t>y = A2^(Bx)</t>
  </si>
  <si>
    <t>Exponential (AB) regression</t>
  </si>
  <si>
    <t>y = AB^x</t>
  </si>
  <si>
    <t>Logarithmic regression</t>
  </si>
  <si>
    <t>y = A + B ln x</t>
  </si>
  <si>
    <t>Y = y</t>
  </si>
  <si>
    <t>X = ln x</t>
  </si>
  <si>
    <t>Power Regression</t>
  </si>
  <si>
    <t>y = Ax^B</t>
  </si>
  <si>
    <t>Inverse Regression</t>
  </si>
  <si>
    <t>y = A + B/x</t>
  </si>
  <si>
    <t>X = 1/x</t>
  </si>
  <si>
    <t>Hyperbolic Regression</t>
  </si>
  <si>
    <t>y = x/(Ax + B)</t>
  </si>
  <si>
    <t>Y = 1/y</t>
  </si>
  <si>
    <r>
      <t xml:space="preserve">Hyperbolic Regression </t>
    </r>
    <r>
      <rPr>
        <b/>
        <sz val="11"/>
        <color theme="1"/>
        <rFont val="Calibri"/>
        <family val="2"/>
        <scheme val="minor"/>
      </rPr>
      <t>JUAN ALEKSANDER</t>
    </r>
  </si>
  <si>
    <r>
      <t xml:space="preserve">Hyperbolic Regression </t>
    </r>
    <r>
      <rPr>
        <b/>
        <sz val="11"/>
        <color theme="1"/>
        <rFont val="Calibri"/>
        <family val="2"/>
        <scheme val="minor"/>
      </rPr>
      <t>RICOOK DHARMAWAN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</si>
</sst>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Linear Regression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962817147856516E-2"/>
                  <c:y val="-0.456398731408573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Sheet1!$B$5:$B$16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Sheet1!$C$5:$C$16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1-418E-858C-FBBFCD34C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542511"/>
        <c:axId val="1756719695"/>
      </c:scatterChart>
      <c:valAx>
        <c:axId val="180554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719695"/>
        <c:crosses val="autoZero"/>
        <c:crossBetween val="midCat"/>
      </c:valAx>
      <c:valAx>
        <c:axId val="175671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4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Exponential</a:t>
            </a:r>
            <a:r>
              <a:rPr lang="id-ID" baseline="0"/>
              <a:t> (e)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9.0043744531933517E-3"/>
                  <c:y val="-0.441741032370953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1,556566e</a:t>
                    </a:r>
                    <a:r>
                      <a:rPr lang="en-US" sz="1200" baseline="30000"/>
                      <a:t>-0,008427x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0,838805</a:t>
                    </a:r>
                    <a:endParaRPr lang="en-US" sz="1800"/>
                  </a:p>
                </c:rich>
              </c:tx>
              <c:numFmt formatCode="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Sheet1!$J$5:$J$16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Sheet1!$K$5:$K$16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6-4EA2-A107-D64103DD4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valAx>
        <c:axId val="28499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2015"/>
        <c:crosses val="autoZero"/>
        <c:crossBetween val="midCat"/>
      </c:valAx>
      <c:valAx>
        <c:axId val="2849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Exponential (2) regression</a:t>
            </a:r>
          </a:p>
        </c:rich>
      </c:tx>
      <c:layout>
        <c:manualLayout>
          <c:xMode val="edge"/>
          <c:yMode val="edge"/>
          <c:x val="0.2864722222222221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Sheet1!$T$5:$T$16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Sheet1!$U$5:$U$16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6-414D-A22D-72803A2F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173743"/>
        <c:axId val="455165583"/>
      </c:scatterChart>
      <c:scatterChart>
        <c:scatterStyle val="smoothMarker"/>
        <c:varyColors val="0"/>
        <c:ser>
          <c:idx val="1"/>
          <c:order val="1"/>
          <c:tx>
            <c:v>trend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Sheet1!$T$5:$T$16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Sheet1!$AA$5:$AA$16</c:f>
              <c:numCache>
                <c:formatCode>General</c:formatCode>
                <c:ptCount val="12"/>
                <c:pt idx="0">
                  <c:v>1.3950481889284572</c:v>
                </c:pt>
                <c:pt idx="1">
                  <c:v>1.3151343697679219</c:v>
                </c:pt>
                <c:pt idx="2">
                  <c:v>1.1111501546881475</c:v>
                </c:pt>
                <c:pt idx="3">
                  <c:v>0.97920747144381204</c:v>
                </c:pt>
                <c:pt idx="4">
                  <c:v>0.86293222215362231</c:v>
                </c:pt>
                <c:pt idx="5">
                  <c:v>0.79990399618710939</c:v>
                </c:pt>
                <c:pt idx="6">
                  <c:v>0.74147932675319583</c:v>
                </c:pt>
                <c:pt idx="7">
                  <c:v>0.61600173097411359</c:v>
                </c:pt>
                <c:pt idx="8">
                  <c:v>0.56146588750157445</c:v>
                </c:pt>
                <c:pt idx="9">
                  <c:v>0.52045664260210889</c:v>
                </c:pt>
                <c:pt idx="10">
                  <c:v>0.48244269662402173</c:v>
                </c:pt>
                <c:pt idx="11">
                  <c:v>0.43973109685959988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96-414D-A22D-72803A2F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173743"/>
        <c:axId val="455165583"/>
      </c:scatterChart>
      <c:valAx>
        <c:axId val="45517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65583"/>
        <c:crosses val="autoZero"/>
        <c:crossBetween val="midCat"/>
      </c:valAx>
      <c:valAx>
        <c:axId val="45516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7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Exponential (AB) regression</a:t>
            </a:r>
          </a:p>
        </c:rich>
      </c:tx>
      <c:layout>
        <c:manualLayout>
          <c:xMode val="edge"/>
          <c:yMode val="edge"/>
          <c:x val="0.3253611111111110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Sheet1!$AD$5:$AD$16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Sheet1!$AE$5:$AE$16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A-4940-B6DE-24114B89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173743"/>
        <c:axId val="455165583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Sheet1!$AD$5:$AD$16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Sheet1!$AK$5:$AK$16</c:f>
              <c:numCache>
                <c:formatCode>General</c:formatCode>
                <c:ptCount val="12"/>
                <c:pt idx="0">
                  <c:v>1.3950481889284583</c:v>
                </c:pt>
                <c:pt idx="1">
                  <c:v>1.3151343697679234</c:v>
                </c:pt>
                <c:pt idx="2">
                  <c:v>1.1111501546881499</c:v>
                </c:pt>
                <c:pt idx="3">
                  <c:v>0.97920747144381537</c:v>
                </c:pt>
                <c:pt idx="4">
                  <c:v>0.86293222215362619</c:v>
                </c:pt>
                <c:pt idx="5">
                  <c:v>0.79990399618711339</c:v>
                </c:pt>
                <c:pt idx="6">
                  <c:v>0.74147932675319983</c:v>
                </c:pt>
                <c:pt idx="7">
                  <c:v>0.61600173097411781</c:v>
                </c:pt>
                <c:pt idx="8">
                  <c:v>0.56146588750157866</c:v>
                </c:pt>
                <c:pt idx="9">
                  <c:v>0.520456642602113</c:v>
                </c:pt>
                <c:pt idx="10">
                  <c:v>0.48244269662402584</c:v>
                </c:pt>
                <c:pt idx="11">
                  <c:v>0.43973109685960393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5A-4940-B6DE-24114B89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173743"/>
        <c:axId val="455165583"/>
      </c:scatterChart>
      <c:valAx>
        <c:axId val="45517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65583"/>
        <c:crosses val="autoZero"/>
        <c:crossBetween val="midCat"/>
      </c:valAx>
      <c:valAx>
        <c:axId val="45516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7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Logarithmic regression</a:t>
            </a:r>
            <a:endParaRPr lang="id-ID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9.0043744531933517E-3"/>
                  <c:y val="-0.44174103237095363"/>
                </c:manualLayout>
              </c:layout>
              <c:numFmt formatCode="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Sheet1!$J$46:$J$57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Sheet1!$K$46:$K$57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0-4049-95FB-559D6AC45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valAx>
        <c:axId val="28499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2015"/>
        <c:crosses val="autoZero"/>
        <c:crossBetween val="midCat"/>
      </c:valAx>
      <c:valAx>
        <c:axId val="2849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Power</a:t>
            </a:r>
            <a:r>
              <a:rPr lang="id-ID" baseline="0"/>
              <a:t>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0043744531933517E-3"/>
                  <c:y val="-0.44174103237095363"/>
                </c:manualLayout>
              </c:layout>
              <c:numFmt formatCode="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Sheet1!$T$46:$T$57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Sheet1!$U$46:$U$57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B-4837-B7F3-F1A60F747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valAx>
        <c:axId val="28499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2015"/>
        <c:crosses val="autoZero"/>
        <c:crossBetween val="midCat"/>
      </c:valAx>
      <c:valAx>
        <c:axId val="2849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Inverse Regression</a:t>
            </a:r>
            <a:endParaRPr lang="id-ID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Sheet1!$AD$46:$AD$57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Sheet1!$AE$46:$AE$57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15-4376-932F-75A949E23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scatterChart>
        <c:scatterStyle val="smoothMarker"/>
        <c:varyColors val="0"/>
        <c:ser>
          <c:idx val="1"/>
          <c:order val="1"/>
          <c:tx>
            <c:v>trend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Sheet1!$AD$46:$AD$57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Sheet1!$AK$46:$AK$57</c:f>
              <c:numCache>
                <c:formatCode>General</c:formatCode>
                <c:ptCount val="12"/>
                <c:pt idx="0">
                  <c:v>1.9421646654302334</c:v>
                </c:pt>
                <c:pt idx="1">
                  <c:v>1.4140276813530748</c:v>
                </c:pt>
                <c:pt idx="2">
                  <c:v>0.92361476756714167</c:v>
                </c:pt>
                <c:pt idx="3">
                  <c:v>0.78986579108006905</c:v>
                </c:pt>
                <c:pt idx="4">
                  <c:v>0.71343780451602745</c:v>
                </c:pt>
                <c:pt idx="5">
                  <c:v>0.68151218987535189</c:v>
                </c:pt>
                <c:pt idx="6">
                  <c:v>0.65611681459299631</c:v>
                </c:pt>
                <c:pt idx="7">
                  <c:v>0.61153382243063881</c:v>
                </c:pt>
                <c:pt idx="8">
                  <c:v>0.59532182528069066</c:v>
                </c:pt>
                <c:pt idx="9">
                  <c:v>0.58409813494611107</c:v>
                </c:pt>
                <c:pt idx="10">
                  <c:v>0.57432787213687275</c:v>
                </c:pt>
                <c:pt idx="11">
                  <c:v>0.5639786307907908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15-4376-932F-75A949E23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valAx>
        <c:axId val="28499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2015"/>
        <c:crosses val="autoZero"/>
        <c:crossBetween val="midCat"/>
      </c:valAx>
      <c:valAx>
        <c:axId val="2849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Hyperbolic</a:t>
            </a:r>
            <a:r>
              <a:rPr lang="id-ID" baseline="0"/>
              <a:t>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Sheet1!$AD$87:$AD$98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Sheet1!$AE$87:$AE$98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D9-4CE0-80DD-BCA20E17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scatterChart>
        <c:scatterStyle val="smoothMarker"/>
        <c:varyColors val="0"/>
        <c:ser>
          <c:idx val="1"/>
          <c:order val="1"/>
          <c:tx>
            <c:v>trend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Sheet1!$AD$87:$AD$98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Sheet1!$AK$87:$AK$98</c:f>
              <c:numCache>
                <c:formatCode>General</c:formatCode>
                <c:ptCount val="12"/>
                <c:pt idx="0">
                  <c:v>3.3373060284150977</c:v>
                </c:pt>
                <c:pt idx="1">
                  <c:v>1.2066557425029945</c:v>
                </c:pt>
                <c:pt idx="2">
                  <c:v>0.75755379749942064</c:v>
                </c:pt>
                <c:pt idx="3">
                  <c:v>0.68774391923669098</c:v>
                </c:pt>
                <c:pt idx="4">
                  <c:v>0.65334024976364147</c:v>
                </c:pt>
                <c:pt idx="5">
                  <c:v>0.63996743794527156</c:v>
                </c:pt>
                <c:pt idx="6">
                  <c:v>0.62971463817885509</c:v>
                </c:pt>
                <c:pt idx="7">
                  <c:v>0.61248814551374742</c:v>
                </c:pt>
                <c:pt idx="8">
                  <c:v>0.6064553416423244</c:v>
                </c:pt>
                <c:pt idx="9">
                  <c:v>0.60234793123483987</c:v>
                </c:pt>
                <c:pt idx="10">
                  <c:v>0.5988174468994818</c:v>
                </c:pt>
                <c:pt idx="11">
                  <c:v>0.59512260735388889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D9-4CE0-80DD-BCA20E17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valAx>
        <c:axId val="28499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2015"/>
        <c:crosses val="autoZero"/>
        <c:crossBetween val="midCat"/>
      </c:valAx>
      <c:valAx>
        <c:axId val="2849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Hyperbolic</a:t>
            </a:r>
            <a:r>
              <a:rPr lang="id-ID" baseline="0"/>
              <a:t> Regression JUAN ALEXANDER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Sheet1!$AD$87:$AD$98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Sheet1!$AE$87:$AE$98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C5-4DD0-9B79-7DBBC370F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scatterChart>
        <c:scatterStyle val="smoothMarker"/>
        <c:varyColors val="0"/>
        <c:ser>
          <c:idx val="1"/>
          <c:order val="1"/>
          <c:tx>
            <c:v>trend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Sheet1!$T$87:$T$98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Sheet1!$AA$87:$AA$98</c:f>
              <c:numCache>
                <c:formatCode>General</c:formatCode>
                <c:ptCount val="12"/>
                <c:pt idx="0">
                  <c:v>-2.3255285030959059E-2</c:v>
                </c:pt>
                <c:pt idx="1">
                  <c:v>-2.3224001041745081E-2</c:v>
                </c:pt>
                <c:pt idx="2">
                  <c:v>-2.3195026894845341E-2</c:v>
                </c:pt>
                <c:pt idx="3">
                  <c:v>-2.3187137397753643E-2</c:v>
                </c:pt>
                <c:pt idx="4">
                  <c:v>-2.3182631522918436E-2</c:v>
                </c:pt>
                <c:pt idx="5">
                  <c:v>-2.3180749840543729E-2</c:v>
                </c:pt>
                <c:pt idx="6">
                  <c:v>-2.3179253265863738E-2</c:v>
                </c:pt>
                <c:pt idx="7">
                  <c:v>-2.3176626413221688E-2</c:v>
                </c:pt>
                <c:pt idx="8">
                  <c:v>-2.3175671341690542E-2</c:v>
                </c:pt>
                <c:pt idx="9">
                  <c:v>-2.3175010184432035E-2</c:v>
                </c:pt>
                <c:pt idx="10">
                  <c:v>-2.317443467537136E-2</c:v>
                </c:pt>
                <c:pt idx="11">
                  <c:v>-2.3173825093243595E-2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C5-4DD0-9B79-7DBBC370F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valAx>
        <c:axId val="28499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2015"/>
        <c:crosses val="autoZero"/>
        <c:crossBetween val="midCat"/>
      </c:valAx>
      <c:valAx>
        <c:axId val="2849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Hyperbolic</a:t>
            </a:r>
            <a:r>
              <a:rPr lang="id-ID" baseline="0"/>
              <a:t> Regression RICOOK DHARMAWAN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Sheet1!$AD$87:$AD$98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Sheet1!$AE$87:$AE$98</c:f>
              <c:numCache>
                <c:formatCode>General</c:formatCode>
                <c:ptCount val="12"/>
                <c:pt idx="0">
                  <c:v>1.84</c:v>
                </c:pt>
                <c:pt idx="1">
                  <c:v>1.57</c:v>
                </c:pt>
                <c:pt idx="2">
                  <c:v>0.92</c:v>
                </c:pt>
                <c:pt idx="3">
                  <c:v>0.7</c:v>
                </c:pt>
                <c:pt idx="4">
                  <c:v>0.84</c:v>
                </c:pt>
                <c:pt idx="5">
                  <c:v>0.77</c:v>
                </c:pt>
                <c:pt idx="6">
                  <c:v>0.69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0.53</c:v>
                </c:pt>
                <c:pt idx="10">
                  <c:v>0.51</c:v>
                </c:pt>
                <c:pt idx="1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96-4918-B2B9-5F83FA808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Sheet1!$J$87:$J$98</c:f>
              <c:numCache>
                <c:formatCode>General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40</c:v>
                </c:pt>
                <c:pt idx="3">
                  <c:v>55</c:v>
                </c:pt>
                <c:pt idx="4">
                  <c:v>70</c:v>
                </c:pt>
                <c:pt idx="5">
                  <c:v>79</c:v>
                </c:pt>
                <c:pt idx="6">
                  <c:v>88</c:v>
                </c:pt>
                <c:pt idx="7">
                  <c:v>110</c:v>
                </c:pt>
                <c:pt idx="8">
                  <c:v>121</c:v>
                </c:pt>
                <c:pt idx="9">
                  <c:v>130</c:v>
                </c:pt>
                <c:pt idx="10">
                  <c:v>139</c:v>
                </c:pt>
                <c:pt idx="11">
                  <c:v>150</c:v>
                </c:pt>
              </c:numCache>
            </c:numRef>
          </c:xVal>
          <c:yVal>
            <c:numRef>
              <c:f>Sheet1!$Q$87:$Q$98</c:f>
              <c:numCache>
                <c:formatCode>General</c:formatCode>
                <c:ptCount val="12"/>
                <c:pt idx="0">
                  <c:v>-0.85836909871244638</c:v>
                </c:pt>
                <c:pt idx="1">
                  <c:v>-227.27272727272478</c:v>
                </c:pt>
                <c:pt idx="2">
                  <c:v>0.93170595360104358</c:v>
                </c:pt>
                <c:pt idx="3">
                  <c:v>0.73141215739989629</c:v>
                </c:pt>
                <c:pt idx="4">
                  <c:v>0.65139305056671204</c:v>
                </c:pt>
                <c:pt idx="5">
                  <c:v>0.62292522531757377</c:v>
                </c:pt>
                <c:pt idx="6">
                  <c:v>0.60199753728280214</c:v>
                </c:pt>
                <c:pt idx="7">
                  <c:v>0.5684695765418446</c:v>
                </c:pt>
                <c:pt idx="8">
                  <c:v>0.55718515585067452</c:v>
                </c:pt>
                <c:pt idx="9">
                  <c:v>0.54963174672969117</c:v>
                </c:pt>
                <c:pt idx="10">
                  <c:v>0.54322126300897688</c:v>
                </c:pt>
                <c:pt idx="11">
                  <c:v>0.5365919969092301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96-4918-B2B9-5F83FA808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0575"/>
        <c:axId val="284992015"/>
      </c:scatterChart>
      <c:valAx>
        <c:axId val="28499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2015"/>
        <c:crosses val="autoZero"/>
        <c:crossBetween val="midCat"/>
      </c:valAx>
      <c:valAx>
        <c:axId val="2849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9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57150</xdr:rowOff>
    </xdr:from>
    <xdr:to>
      <xdr:col>6</xdr:col>
      <xdr:colOff>723900</xdr:colOff>
      <xdr:row>39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4E3DC-8021-9F3C-4B15-11C341739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666750</xdr:colOff>
      <xdr:row>25</xdr:row>
      <xdr:rowOff>19050</xdr:rowOff>
    </xdr:from>
    <xdr:to>
      <xdr:col>16</xdr:col>
      <xdr:colOff>504825</xdr:colOff>
      <xdr:row>39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6A0DD8-4A51-757E-5263-56E8C5379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16807</xdr:colOff>
      <xdr:row>24</xdr:row>
      <xdr:rowOff>118782</xdr:rowOff>
    </xdr:from>
    <xdr:to>
      <xdr:col>25</xdr:col>
      <xdr:colOff>352984</xdr:colOff>
      <xdr:row>39</xdr:row>
      <xdr:rowOff>4482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2C0713-BE24-A22F-35F3-A74C3C5EB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25</xdr:row>
      <xdr:rowOff>0</xdr:rowOff>
    </xdr:from>
    <xdr:to>
      <xdr:col>35</xdr:col>
      <xdr:colOff>336177</xdr:colOff>
      <xdr:row>39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C8F8CC-A903-4632-9200-4787C3018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11206</xdr:colOff>
      <xdr:row>66</xdr:row>
      <xdr:rowOff>0</xdr:rowOff>
    </xdr:from>
    <xdr:to>
      <xdr:col>16</xdr:col>
      <xdr:colOff>521634</xdr:colOff>
      <xdr:row>80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4980FD-C90A-4247-AAC8-88E53ADA5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66</xdr:row>
      <xdr:rowOff>0</xdr:rowOff>
    </xdr:from>
    <xdr:to>
      <xdr:col>26</xdr:col>
      <xdr:colOff>510428</xdr:colOff>
      <xdr:row>80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B3EF03-A28B-4B32-B075-9CD6EB192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0</xdr:colOff>
      <xdr:row>66</xdr:row>
      <xdr:rowOff>0</xdr:rowOff>
    </xdr:from>
    <xdr:to>
      <xdr:col>36</xdr:col>
      <xdr:colOff>510428</xdr:colOff>
      <xdr:row>80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8AAD4D-39E0-4CBF-ABC9-C99690FD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616324</xdr:colOff>
      <xdr:row>108</xdr:row>
      <xdr:rowOff>156882</xdr:rowOff>
    </xdr:from>
    <xdr:to>
      <xdr:col>36</xdr:col>
      <xdr:colOff>465604</xdr:colOff>
      <xdr:row>123</xdr:row>
      <xdr:rowOff>42582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15380D9-DADC-4BEF-AC48-D788A50CB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109</xdr:row>
      <xdr:rowOff>0</xdr:rowOff>
    </xdr:from>
    <xdr:to>
      <xdr:col>26</xdr:col>
      <xdr:colOff>505385</xdr:colOff>
      <xdr:row>123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8A4AD3-40F5-4E1C-B875-C52826A92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109</xdr:row>
      <xdr:rowOff>0</xdr:rowOff>
    </xdr:from>
    <xdr:to>
      <xdr:col>16</xdr:col>
      <xdr:colOff>505385</xdr:colOff>
      <xdr:row>123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D1FD5A-1558-4F66-AB24-F4E9F0431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8"/>
  <sheetViews>
    <sheetView tabSelected="1" topLeftCell="J83" zoomScale="85" zoomScaleNormal="85" workbookViewId="0">
      <selection activeCell="AG101" sqref="AG101"/>
    </sheetView>
  </sheetViews>
  <sheetFormatPr defaultRowHeight="15" x14ac:dyDescent="0.25"/>
  <cols>
    <col min="5" max="5" width="8.42578125" bestFit="1" customWidth="1"/>
    <col min="7" max="7" width="12.42578125" customWidth="1"/>
    <col min="8" max="8" width="10" customWidth="1"/>
    <col min="17" max="17" width="8.85546875" customWidth="1"/>
    <col min="18" max="18" width="8.42578125" customWidth="1"/>
    <col min="25" max="25" width="9.140625" customWidth="1"/>
    <col min="28" max="28" width="9.42578125" customWidth="1"/>
    <col min="34" max="34" width="9.5703125" customWidth="1"/>
  </cols>
  <sheetData>
    <row r="1" spans="1:37" x14ac:dyDescent="0.25">
      <c r="A1" t="s">
        <v>7</v>
      </c>
      <c r="I1" t="s">
        <v>22</v>
      </c>
      <c r="S1" t="s">
        <v>31</v>
      </c>
      <c r="AC1" t="s">
        <v>33</v>
      </c>
    </row>
    <row r="2" spans="1:37" x14ac:dyDescent="0.25">
      <c r="A2" t="s">
        <v>8</v>
      </c>
      <c r="I2" t="s">
        <v>23</v>
      </c>
      <c r="S2" t="s">
        <v>32</v>
      </c>
      <c r="AC2" t="s">
        <v>34</v>
      </c>
    </row>
    <row r="3" spans="1:37" x14ac:dyDescent="0.25">
      <c r="I3" s="11" t="s">
        <v>14</v>
      </c>
      <c r="J3" s="7" t="s">
        <v>1</v>
      </c>
      <c r="K3" s="7" t="s">
        <v>2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30</v>
      </c>
      <c r="S3" s="11" t="s">
        <v>14</v>
      </c>
      <c r="T3" s="11" t="s">
        <v>1</v>
      </c>
      <c r="U3" s="11" t="s">
        <v>2</v>
      </c>
      <c r="V3" s="11" t="s">
        <v>17</v>
      </c>
      <c r="W3" s="11" t="s">
        <v>18</v>
      </c>
      <c r="X3" s="11" t="s">
        <v>19</v>
      </c>
      <c r="Y3" s="11" t="s">
        <v>20</v>
      </c>
      <c r="Z3" s="11" t="s">
        <v>21</v>
      </c>
      <c r="AA3" s="11" t="s">
        <v>30</v>
      </c>
      <c r="AC3" s="11" t="s">
        <v>14</v>
      </c>
      <c r="AD3" s="11" t="s">
        <v>1</v>
      </c>
      <c r="AE3" s="11" t="s">
        <v>2</v>
      </c>
      <c r="AF3" s="11" t="s">
        <v>17</v>
      </c>
      <c r="AG3" s="11" t="s">
        <v>18</v>
      </c>
      <c r="AH3" s="11" t="s">
        <v>19</v>
      </c>
      <c r="AI3" s="11" t="s">
        <v>20</v>
      </c>
      <c r="AJ3" s="11" t="s">
        <v>21</v>
      </c>
      <c r="AK3" s="11" t="s">
        <v>30</v>
      </c>
    </row>
    <row r="4" spans="1:37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30</v>
      </c>
      <c r="I4" s="12"/>
      <c r="J4" s="3" t="s">
        <v>15</v>
      </c>
      <c r="K4" s="3" t="s">
        <v>16</v>
      </c>
      <c r="L4" s="12"/>
      <c r="M4" s="12"/>
      <c r="N4" s="12"/>
      <c r="O4" s="12"/>
      <c r="P4" s="12"/>
      <c r="Q4" s="12"/>
      <c r="S4" s="12"/>
      <c r="T4" s="12"/>
      <c r="U4" s="12"/>
      <c r="V4" s="12"/>
      <c r="W4" s="12"/>
      <c r="X4" s="12"/>
      <c r="Y4" s="12"/>
      <c r="Z4" s="12"/>
      <c r="AA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x14ac:dyDescent="0.25">
      <c r="A5" s="5">
        <v>1</v>
      </c>
      <c r="B5" s="1">
        <v>13</v>
      </c>
      <c r="C5" s="1">
        <v>1.84</v>
      </c>
      <c r="D5" s="1">
        <f>B5^2</f>
        <v>169</v>
      </c>
      <c r="E5" s="1">
        <f>C5^2</f>
        <v>3.3856000000000002</v>
      </c>
      <c r="F5" s="1">
        <f>B5*C5</f>
        <v>23.92</v>
      </c>
      <c r="G5">
        <f>$B$19*B5+$B$20</f>
        <v>1.4063022791952626</v>
      </c>
      <c r="I5" s="5">
        <v>1</v>
      </c>
      <c r="J5" s="1">
        <v>13</v>
      </c>
      <c r="K5" s="1">
        <v>1.84</v>
      </c>
      <c r="L5" s="8">
        <f>J5</f>
        <v>13</v>
      </c>
      <c r="M5" s="8">
        <f>LN(K5)</f>
        <v>0.60976557162089429</v>
      </c>
      <c r="N5" s="8">
        <f>L5^2</f>
        <v>169</v>
      </c>
      <c r="O5" s="8">
        <f>M5^2</f>
        <v>0.37181405233415599</v>
      </c>
      <c r="P5" s="8">
        <f>L5*M5</f>
        <v>7.9269524310716255</v>
      </c>
      <c r="Q5" s="8">
        <f>M$20*EXP(M$19*J5)</f>
        <v>1.3950481889284572</v>
      </c>
      <c r="S5" s="5">
        <v>1</v>
      </c>
      <c r="T5" s="1">
        <v>13</v>
      </c>
      <c r="U5" s="1">
        <v>1.84</v>
      </c>
      <c r="V5" s="8">
        <f>T5</f>
        <v>13</v>
      </c>
      <c r="W5" s="8">
        <f>LN(U5)</f>
        <v>0.60976557162089429</v>
      </c>
      <c r="X5" s="8">
        <f>V5^2</f>
        <v>169</v>
      </c>
      <c r="Y5" s="8">
        <f>W5^2</f>
        <v>0.37181405233415599</v>
      </c>
      <c r="Z5" s="8">
        <f>V5*W5</f>
        <v>7.9269524310716255</v>
      </c>
      <c r="AA5" s="8">
        <f>W$20*2^(W$19*T5)</f>
        <v>1.3950481889284572</v>
      </c>
      <c r="AC5" s="5">
        <v>1</v>
      </c>
      <c r="AD5" s="1">
        <v>13</v>
      </c>
      <c r="AE5" s="1">
        <v>1.84</v>
      </c>
      <c r="AF5" s="8">
        <f>AD5</f>
        <v>13</v>
      </c>
      <c r="AG5" s="8">
        <f>LN(AE5)</f>
        <v>0.60976557162089429</v>
      </c>
      <c r="AH5" s="8">
        <f>AF5^2</f>
        <v>169</v>
      </c>
      <c r="AI5" s="8">
        <f>AG5^2</f>
        <v>0.37181405233415599</v>
      </c>
      <c r="AJ5" s="8">
        <f>AF5*AG5</f>
        <v>7.9269524310716255</v>
      </c>
      <c r="AK5" s="8">
        <f>AG$20*AG$19^(AD5)</f>
        <v>1.3950481889284583</v>
      </c>
    </row>
    <row r="6" spans="1:37" x14ac:dyDescent="0.25">
      <c r="A6" s="5">
        <v>2</v>
      </c>
      <c r="B6" s="1">
        <v>20</v>
      </c>
      <c r="C6" s="1">
        <v>1.57</v>
      </c>
      <c r="D6" s="1">
        <f t="shared" ref="D6:D16" si="0">B6^2</f>
        <v>400</v>
      </c>
      <c r="E6" s="1">
        <f t="shared" ref="E6:E16" si="1">C6^2</f>
        <v>2.4649000000000001</v>
      </c>
      <c r="F6" s="1">
        <f t="shared" ref="F6:F16" si="2">B6*C6</f>
        <v>31.400000000000002</v>
      </c>
      <c r="G6">
        <f t="shared" ref="G6:G16" si="3">$B$19*B6+$B$20</f>
        <v>1.3506801704031766</v>
      </c>
      <c r="I6" s="5">
        <v>2</v>
      </c>
      <c r="J6" s="1">
        <v>20</v>
      </c>
      <c r="K6" s="1">
        <v>1.57</v>
      </c>
      <c r="L6" s="8">
        <f t="shared" ref="L6:L16" si="4">J6</f>
        <v>20</v>
      </c>
      <c r="M6" s="8">
        <f t="shared" ref="M6:M16" si="5">LN(K6)</f>
        <v>0.45107561936021673</v>
      </c>
      <c r="N6" s="8">
        <f t="shared" ref="N6:N16" si="6">L6^2</f>
        <v>400</v>
      </c>
      <c r="O6" s="8">
        <f t="shared" ref="O6:O16" si="7">M6^2</f>
        <v>0.20346921438120313</v>
      </c>
      <c r="P6" s="8">
        <f t="shared" ref="P6:P15" si="8">L6*M6</f>
        <v>9.0215123872043339</v>
      </c>
      <c r="Q6" s="8">
        <f t="shared" ref="Q6:Q16" si="9">M$20*EXP(M$19*J6)</f>
        <v>1.3151343697679219</v>
      </c>
      <c r="S6" s="5">
        <v>2</v>
      </c>
      <c r="T6" s="1">
        <v>20</v>
      </c>
      <c r="U6" s="1">
        <v>1.57</v>
      </c>
      <c r="V6" s="8">
        <f t="shared" ref="V6:V16" si="10">T6</f>
        <v>20</v>
      </c>
      <c r="W6" s="8">
        <f t="shared" ref="W6:W16" si="11">LN(U6)</f>
        <v>0.45107561936021673</v>
      </c>
      <c r="X6" s="8">
        <f t="shared" ref="X6:X16" si="12">V6^2</f>
        <v>400</v>
      </c>
      <c r="Y6" s="8">
        <f t="shared" ref="Y6:Y16" si="13">W6^2</f>
        <v>0.20346921438120313</v>
      </c>
      <c r="Z6" s="8">
        <f t="shared" ref="Z6:Z15" si="14">V6*W6</f>
        <v>9.0215123872043339</v>
      </c>
      <c r="AA6" s="8">
        <f t="shared" ref="AA6:AA16" si="15">W$20*2^(W$19*T6)</f>
        <v>1.3151343697679219</v>
      </c>
      <c r="AC6" s="5">
        <v>2</v>
      </c>
      <c r="AD6" s="1">
        <v>20</v>
      </c>
      <c r="AE6" s="1">
        <v>1.57</v>
      </c>
      <c r="AF6" s="8">
        <f t="shared" ref="AF6:AF16" si="16">AD6</f>
        <v>20</v>
      </c>
      <c r="AG6" s="8">
        <f t="shared" ref="AG6:AG16" si="17">LN(AE6)</f>
        <v>0.45107561936021673</v>
      </c>
      <c r="AH6" s="8">
        <f t="shared" ref="AH6:AH16" si="18">AF6^2</f>
        <v>400</v>
      </c>
      <c r="AI6" s="8">
        <f t="shared" ref="AI6:AI16" si="19">AG6^2</f>
        <v>0.20346921438120313</v>
      </c>
      <c r="AJ6" s="8">
        <f t="shared" ref="AJ6:AJ15" si="20">AF6*AG6</f>
        <v>9.0215123872043339</v>
      </c>
      <c r="AK6" s="8">
        <f t="shared" ref="AK6:AK16" si="21">AG$20*AG$19^(AD6)</f>
        <v>1.3151343697679234</v>
      </c>
    </row>
    <row r="7" spans="1:37" x14ac:dyDescent="0.25">
      <c r="A7" s="5">
        <v>3</v>
      </c>
      <c r="B7" s="1">
        <v>40</v>
      </c>
      <c r="C7" s="1">
        <v>0.92</v>
      </c>
      <c r="D7" s="1">
        <f t="shared" si="0"/>
        <v>1600</v>
      </c>
      <c r="E7" s="1">
        <f t="shared" si="1"/>
        <v>0.84640000000000004</v>
      </c>
      <c r="F7" s="1">
        <f t="shared" si="2"/>
        <v>36.800000000000004</v>
      </c>
      <c r="G7">
        <f t="shared" si="3"/>
        <v>1.1917598595686443</v>
      </c>
      <c r="I7" s="5">
        <v>3</v>
      </c>
      <c r="J7" s="1">
        <v>40</v>
      </c>
      <c r="K7" s="1">
        <v>0.92</v>
      </c>
      <c r="L7" s="8">
        <f t="shared" si="4"/>
        <v>40</v>
      </c>
      <c r="M7" s="8">
        <f t="shared" si="5"/>
        <v>-8.3381608939051013E-2</v>
      </c>
      <c r="N7" s="8">
        <f t="shared" si="6"/>
        <v>1600</v>
      </c>
      <c r="O7" s="8">
        <f t="shared" si="7"/>
        <v>6.952492709264832E-3</v>
      </c>
      <c r="P7" s="8">
        <f t="shared" si="8"/>
        <v>-3.3352643575620404</v>
      </c>
      <c r="Q7" s="8">
        <f t="shared" si="9"/>
        <v>1.1111501546881473</v>
      </c>
      <c r="S7" s="5">
        <v>3</v>
      </c>
      <c r="T7" s="1">
        <v>40</v>
      </c>
      <c r="U7" s="1">
        <v>0.92</v>
      </c>
      <c r="V7" s="8">
        <f t="shared" si="10"/>
        <v>40</v>
      </c>
      <c r="W7" s="8">
        <f t="shared" si="11"/>
        <v>-8.3381608939051013E-2</v>
      </c>
      <c r="X7" s="8">
        <f t="shared" si="12"/>
        <v>1600</v>
      </c>
      <c r="Y7" s="8">
        <f t="shared" si="13"/>
        <v>6.952492709264832E-3</v>
      </c>
      <c r="Z7" s="8">
        <f t="shared" si="14"/>
        <v>-3.3352643575620404</v>
      </c>
      <c r="AA7" s="8">
        <f t="shared" si="15"/>
        <v>1.1111501546881475</v>
      </c>
      <c r="AC7" s="5">
        <v>3</v>
      </c>
      <c r="AD7" s="1">
        <v>40</v>
      </c>
      <c r="AE7" s="1">
        <v>0.92</v>
      </c>
      <c r="AF7" s="8">
        <f t="shared" si="16"/>
        <v>40</v>
      </c>
      <c r="AG7" s="8">
        <f t="shared" si="17"/>
        <v>-8.3381608939051013E-2</v>
      </c>
      <c r="AH7" s="8">
        <f t="shared" si="18"/>
        <v>1600</v>
      </c>
      <c r="AI7" s="8">
        <f t="shared" si="19"/>
        <v>6.952492709264832E-3</v>
      </c>
      <c r="AJ7" s="8">
        <f t="shared" si="20"/>
        <v>-3.3352643575620404</v>
      </c>
      <c r="AK7" s="8">
        <f t="shared" si="21"/>
        <v>1.1111501546881499</v>
      </c>
    </row>
    <row r="8" spans="1:37" x14ac:dyDescent="0.25">
      <c r="A8" s="5">
        <v>4</v>
      </c>
      <c r="B8" s="1">
        <v>55</v>
      </c>
      <c r="C8" s="1">
        <v>0.7</v>
      </c>
      <c r="D8" s="1">
        <f t="shared" si="0"/>
        <v>3025</v>
      </c>
      <c r="E8" s="1">
        <f t="shared" si="1"/>
        <v>0.48999999999999994</v>
      </c>
      <c r="F8" s="1">
        <f t="shared" si="2"/>
        <v>38.5</v>
      </c>
      <c r="G8">
        <f t="shared" si="3"/>
        <v>1.0725696264427453</v>
      </c>
      <c r="I8" s="5">
        <v>4</v>
      </c>
      <c r="J8" s="1">
        <v>55</v>
      </c>
      <c r="K8" s="1">
        <v>0.7</v>
      </c>
      <c r="L8" s="8">
        <f t="shared" si="4"/>
        <v>55</v>
      </c>
      <c r="M8" s="8">
        <f t="shared" si="5"/>
        <v>-0.35667494393873245</v>
      </c>
      <c r="N8" s="8">
        <f t="shared" si="6"/>
        <v>3025</v>
      </c>
      <c r="O8" s="8">
        <f t="shared" si="7"/>
        <v>0.12721701563369794</v>
      </c>
      <c r="P8" s="8">
        <f t="shared" si="8"/>
        <v>-19.617121916630285</v>
      </c>
      <c r="Q8" s="8">
        <f t="shared" si="9"/>
        <v>0.97920747144381226</v>
      </c>
      <c r="S8" s="5">
        <v>4</v>
      </c>
      <c r="T8" s="1">
        <v>55</v>
      </c>
      <c r="U8" s="1">
        <v>0.7</v>
      </c>
      <c r="V8" s="8">
        <f t="shared" si="10"/>
        <v>55</v>
      </c>
      <c r="W8" s="8">
        <f t="shared" si="11"/>
        <v>-0.35667494393873245</v>
      </c>
      <c r="X8" s="8">
        <f t="shared" si="12"/>
        <v>3025</v>
      </c>
      <c r="Y8" s="8">
        <f t="shared" si="13"/>
        <v>0.12721701563369794</v>
      </c>
      <c r="Z8" s="8">
        <f t="shared" si="14"/>
        <v>-19.617121916630285</v>
      </c>
      <c r="AA8" s="8">
        <f t="shared" si="15"/>
        <v>0.97920747144381204</v>
      </c>
      <c r="AC8" s="5">
        <v>4</v>
      </c>
      <c r="AD8" s="1">
        <v>55</v>
      </c>
      <c r="AE8" s="1">
        <v>0.7</v>
      </c>
      <c r="AF8" s="8">
        <f t="shared" si="16"/>
        <v>55</v>
      </c>
      <c r="AG8" s="8">
        <f t="shared" si="17"/>
        <v>-0.35667494393873245</v>
      </c>
      <c r="AH8" s="8">
        <f t="shared" si="18"/>
        <v>3025</v>
      </c>
      <c r="AI8" s="8">
        <f t="shared" si="19"/>
        <v>0.12721701563369794</v>
      </c>
      <c r="AJ8" s="8">
        <f t="shared" si="20"/>
        <v>-19.617121916630285</v>
      </c>
      <c r="AK8" s="8">
        <f t="shared" si="21"/>
        <v>0.97920747144381537</v>
      </c>
    </row>
    <row r="9" spans="1:37" x14ac:dyDescent="0.25">
      <c r="A9" s="5">
        <v>5</v>
      </c>
      <c r="B9" s="1">
        <v>70</v>
      </c>
      <c r="C9" s="1">
        <v>0.84</v>
      </c>
      <c r="D9" s="1">
        <f t="shared" si="0"/>
        <v>4900</v>
      </c>
      <c r="E9" s="1">
        <f t="shared" si="1"/>
        <v>0.70559999999999989</v>
      </c>
      <c r="F9" s="1">
        <f t="shared" si="2"/>
        <v>58.8</v>
      </c>
      <c r="G9">
        <f t="shared" si="3"/>
        <v>0.95337939331684618</v>
      </c>
      <c r="I9" s="5">
        <v>5</v>
      </c>
      <c r="J9" s="1">
        <v>70</v>
      </c>
      <c r="K9" s="1">
        <v>0.84</v>
      </c>
      <c r="L9" s="8">
        <f t="shared" si="4"/>
        <v>70</v>
      </c>
      <c r="M9" s="8">
        <f t="shared" si="5"/>
        <v>-0.1743533871447778</v>
      </c>
      <c r="N9" s="8">
        <f t="shared" si="6"/>
        <v>4900</v>
      </c>
      <c r="O9" s="8">
        <f t="shared" si="7"/>
        <v>3.0399103608856767E-2</v>
      </c>
      <c r="P9" s="8">
        <f t="shared" si="8"/>
        <v>-12.204737100134446</v>
      </c>
      <c r="Q9" s="8">
        <f t="shared" si="9"/>
        <v>0.86293222215362231</v>
      </c>
      <c r="S9" s="5">
        <v>5</v>
      </c>
      <c r="T9" s="1">
        <v>70</v>
      </c>
      <c r="U9" s="1">
        <v>0.84</v>
      </c>
      <c r="V9" s="8">
        <f t="shared" si="10"/>
        <v>70</v>
      </c>
      <c r="W9" s="8">
        <f t="shared" si="11"/>
        <v>-0.1743533871447778</v>
      </c>
      <c r="X9" s="8">
        <f t="shared" si="12"/>
        <v>4900</v>
      </c>
      <c r="Y9" s="8">
        <f t="shared" si="13"/>
        <v>3.0399103608856767E-2</v>
      </c>
      <c r="Z9" s="8">
        <f t="shared" si="14"/>
        <v>-12.204737100134446</v>
      </c>
      <c r="AA9" s="8">
        <f t="shared" si="15"/>
        <v>0.86293222215362231</v>
      </c>
      <c r="AC9" s="5">
        <v>5</v>
      </c>
      <c r="AD9" s="1">
        <v>70</v>
      </c>
      <c r="AE9" s="1">
        <v>0.84</v>
      </c>
      <c r="AF9" s="8">
        <f t="shared" si="16"/>
        <v>70</v>
      </c>
      <c r="AG9" s="8">
        <f t="shared" si="17"/>
        <v>-0.1743533871447778</v>
      </c>
      <c r="AH9" s="8">
        <f t="shared" si="18"/>
        <v>4900</v>
      </c>
      <c r="AI9" s="8">
        <f t="shared" si="19"/>
        <v>3.0399103608856767E-2</v>
      </c>
      <c r="AJ9" s="8">
        <f t="shared" si="20"/>
        <v>-12.204737100134446</v>
      </c>
      <c r="AK9" s="8">
        <f t="shared" si="21"/>
        <v>0.86293222215362619</v>
      </c>
    </row>
    <row r="10" spans="1:37" x14ac:dyDescent="0.25">
      <c r="A10" s="5">
        <v>6</v>
      </c>
      <c r="B10" s="1">
        <v>79</v>
      </c>
      <c r="C10" s="1">
        <v>0.77</v>
      </c>
      <c r="D10" s="1">
        <f t="shared" si="0"/>
        <v>6241</v>
      </c>
      <c r="E10" s="1">
        <f t="shared" si="1"/>
        <v>0.59289999999999998</v>
      </c>
      <c r="F10" s="1">
        <f t="shared" si="2"/>
        <v>60.83</v>
      </c>
      <c r="G10">
        <f t="shared" si="3"/>
        <v>0.88186525344130662</v>
      </c>
      <c r="I10" s="5">
        <v>6</v>
      </c>
      <c r="J10" s="1">
        <v>79</v>
      </c>
      <c r="K10" s="1">
        <v>0.77</v>
      </c>
      <c r="L10" s="8">
        <f t="shared" si="4"/>
        <v>79</v>
      </c>
      <c r="M10" s="8">
        <f t="shared" si="5"/>
        <v>-0.26136476413440751</v>
      </c>
      <c r="N10" s="8">
        <f t="shared" si="6"/>
        <v>6241</v>
      </c>
      <c r="O10" s="8">
        <f t="shared" si="7"/>
        <v>6.8311539931034476E-2</v>
      </c>
      <c r="P10" s="8">
        <f t="shared" si="8"/>
        <v>-20.647816366618194</v>
      </c>
      <c r="Q10" s="8">
        <f t="shared" si="9"/>
        <v>0.79990399618710939</v>
      </c>
      <c r="S10" s="5">
        <v>6</v>
      </c>
      <c r="T10" s="1">
        <v>79</v>
      </c>
      <c r="U10" s="1">
        <v>0.77</v>
      </c>
      <c r="V10" s="8">
        <f t="shared" si="10"/>
        <v>79</v>
      </c>
      <c r="W10" s="8">
        <f t="shared" si="11"/>
        <v>-0.26136476413440751</v>
      </c>
      <c r="X10" s="8">
        <f t="shared" si="12"/>
        <v>6241</v>
      </c>
      <c r="Y10" s="8">
        <f t="shared" si="13"/>
        <v>6.8311539931034476E-2</v>
      </c>
      <c r="Z10" s="8">
        <f t="shared" si="14"/>
        <v>-20.647816366618194</v>
      </c>
      <c r="AA10" s="8">
        <f t="shared" si="15"/>
        <v>0.79990399618710939</v>
      </c>
      <c r="AC10" s="5">
        <v>6</v>
      </c>
      <c r="AD10" s="1">
        <v>79</v>
      </c>
      <c r="AE10" s="1">
        <v>0.77</v>
      </c>
      <c r="AF10" s="8">
        <f t="shared" si="16"/>
        <v>79</v>
      </c>
      <c r="AG10" s="8">
        <f t="shared" si="17"/>
        <v>-0.26136476413440751</v>
      </c>
      <c r="AH10" s="8">
        <f t="shared" si="18"/>
        <v>6241</v>
      </c>
      <c r="AI10" s="8">
        <f t="shared" si="19"/>
        <v>6.8311539931034476E-2</v>
      </c>
      <c r="AJ10" s="8">
        <f t="shared" si="20"/>
        <v>-20.647816366618194</v>
      </c>
      <c r="AK10" s="8">
        <f t="shared" si="21"/>
        <v>0.79990399618711339</v>
      </c>
    </row>
    <row r="11" spans="1:37" x14ac:dyDescent="0.25">
      <c r="A11" s="5">
        <v>7</v>
      </c>
      <c r="B11" s="1">
        <v>88</v>
      </c>
      <c r="C11" s="1">
        <v>0.69</v>
      </c>
      <c r="D11" s="1">
        <f t="shared" si="0"/>
        <v>7744</v>
      </c>
      <c r="E11" s="1">
        <f t="shared" si="1"/>
        <v>0.47609999999999991</v>
      </c>
      <c r="F11" s="1">
        <f t="shared" si="2"/>
        <v>60.72</v>
      </c>
      <c r="G11">
        <f t="shared" si="3"/>
        <v>0.81035111356576717</v>
      </c>
      <c r="I11" s="5">
        <v>7</v>
      </c>
      <c r="J11" s="1">
        <v>88</v>
      </c>
      <c r="K11" s="1">
        <v>0.69</v>
      </c>
      <c r="L11" s="8">
        <f t="shared" si="4"/>
        <v>88</v>
      </c>
      <c r="M11" s="8">
        <f t="shared" si="5"/>
        <v>-0.37106368139083207</v>
      </c>
      <c r="N11" s="8">
        <f t="shared" si="6"/>
        <v>7744</v>
      </c>
      <c r="O11" s="8">
        <f t="shared" si="7"/>
        <v>0.13768825564731693</v>
      </c>
      <c r="P11" s="8">
        <f t="shared" si="8"/>
        <v>-32.65360396239322</v>
      </c>
      <c r="Q11" s="8">
        <f t="shared" si="9"/>
        <v>0.74147932675319594</v>
      </c>
      <c r="S11" s="5">
        <v>7</v>
      </c>
      <c r="T11" s="1">
        <v>88</v>
      </c>
      <c r="U11" s="1">
        <v>0.69</v>
      </c>
      <c r="V11" s="8">
        <f t="shared" si="10"/>
        <v>88</v>
      </c>
      <c r="W11" s="8">
        <f t="shared" si="11"/>
        <v>-0.37106368139083207</v>
      </c>
      <c r="X11" s="8">
        <f t="shared" si="12"/>
        <v>7744</v>
      </c>
      <c r="Y11" s="8">
        <f t="shared" si="13"/>
        <v>0.13768825564731693</v>
      </c>
      <c r="Z11" s="8">
        <f t="shared" si="14"/>
        <v>-32.65360396239322</v>
      </c>
      <c r="AA11" s="8">
        <f t="shared" si="15"/>
        <v>0.74147932675319583</v>
      </c>
      <c r="AC11" s="5">
        <v>7</v>
      </c>
      <c r="AD11" s="1">
        <v>88</v>
      </c>
      <c r="AE11" s="1">
        <v>0.69</v>
      </c>
      <c r="AF11" s="8">
        <f t="shared" si="16"/>
        <v>88</v>
      </c>
      <c r="AG11" s="8">
        <f t="shared" si="17"/>
        <v>-0.37106368139083207</v>
      </c>
      <c r="AH11" s="8">
        <f t="shared" si="18"/>
        <v>7744</v>
      </c>
      <c r="AI11" s="8">
        <f t="shared" si="19"/>
        <v>0.13768825564731693</v>
      </c>
      <c r="AJ11" s="8">
        <f t="shared" si="20"/>
        <v>-32.65360396239322</v>
      </c>
      <c r="AK11" s="8">
        <f t="shared" si="21"/>
        <v>0.74147932675319983</v>
      </c>
    </row>
    <row r="12" spans="1:37" x14ac:dyDescent="0.25">
      <c r="A12" s="5">
        <v>8</v>
      </c>
      <c r="B12" s="1">
        <v>110</v>
      </c>
      <c r="C12" s="1">
        <v>0.61</v>
      </c>
      <c r="D12" s="1">
        <f t="shared" si="0"/>
        <v>12100</v>
      </c>
      <c r="E12" s="1">
        <f t="shared" si="1"/>
        <v>0.37209999999999999</v>
      </c>
      <c r="F12" s="1">
        <f t="shared" si="2"/>
        <v>67.099999999999994</v>
      </c>
      <c r="G12">
        <f t="shared" si="3"/>
        <v>0.63553877164778183</v>
      </c>
      <c r="I12" s="5">
        <v>8</v>
      </c>
      <c r="J12" s="1">
        <v>110</v>
      </c>
      <c r="K12" s="1">
        <v>0.61</v>
      </c>
      <c r="L12" s="8">
        <f t="shared" si="4"/>
        <v>110</v>
      </c>
      <c r="M12" s="8">
        <f t="shared" si="5"/>
        <v>-0.49429632181478012</v>
      </c>
      <c r="N12" s="8">
        <f t="shared" si="6"/>
        <v>12100</v>
      </c>
      <c r="O12" s="8">
        <f t="shared" si="7"/>
        <v>0.24432885375962066</v>
      </c>
      <c r="P12" s="8">
        <f t="shared" si="8"/>
        <v>-54.372595399625816</v>
      </c>
      <c r="Q12" s="8">
        <f t="shared" si="9"/>
        <v>0.6160017309741137</v>
      </c>
      <c r="S12" s="5">
        <v>8</v>
      </c>
      <c r="T12" s="1">
        <v>110</v>
      </c>
      <c r="U12" s="1">
        <v>0.61</v>
      </c>
      <c r="V12" s="8">
        <f t="shared" si="10"/>
        <v>110</v>
      </c>
      <c r="W12" s="8">
        <f t="shared" si="11"/>
        <v>-0.49429632181478012</v>
      </c>
      <c r="X12" s="8">
        <f t="shared" si="12"/>
        <v>12100</v>
      </c>
      <c r="Y12" s="8">
        <f t="shared" si="13"/>
        <v>0.24432885375962066</v>
      </c>
      <c r="Z12" s="8">
        <f t="shared" si="14"/>
        <v>-54.372595399625816</v>
      </c>
      <c r="AA12" s="8">
        <f t="shared" si="15"/>
        <v>0.61600173097411359</v>
      </c>
      <c r="AC12" s="5">
        <v>8</v>
      </c>
      <c r="AD12" s="1">
        <v>110</v>
      </c>
      <c r="AE12" s="1">
        <v>0.61</v>
      </c>
      <c r="AF12" s="8">
        <f t="shared" si="16"/>
        <v>110</v>
      </c>
      <c r="AG12" s="8">
        <f t="shared" si="17"/>
        <v>-0.49429632181478012</v>
      </c>
      <c r="AH12" s="8">
        <f t="shared" si="18"/>
        <v>12100</v>
      </c>
      <c r="AI12" s="8">
        <f t="shared" si="19"/>
        <v>0.24432885375962066</v>
      </c>
      <c r="AJ12" s="8">
        <f t="shared" si="20"/>
        <v>-54.372595399625816</v>
      </c>
      <c r="AK12" s="8">
        <f t="shared" si="21"/>
        <v>0.61600173097411781</v>
      </c>
    </row>
    <row r="13" spans="1:37" x14ac:dyDescent="0.25">
      <c r="A13" s="5">
        <v>9</v>
      </c>
      <c r="B13" s="1">
        <v>121</v>
      </c>
      <c r="C13" s="1">
        <v>0.56999999999999995</v>
      </c>
      <c r="D13" s="1">
        <f t="shared" si="0"/>
        <v>14641</v>
      </c>
      <c r="E13" s="1">
        <f t="shared" si="1"/>
        <v>0.32489999999999997</v>
      </c>
      <c r="F13" s="1">
        <f t="shared" si="2"/>
        <v>68.97</v>
      </c>
      <c r="G13">
        <f t="shared" si="3"/>
        <v>0.54813260068878922</v>
      </c>
      <c r="I13" s="5">
        <v>9</v>
      </c>
      <c r="J13" s="1">
        <v>121</v>
      </c>
      <c r="K13" s="1">
        <v>0.56999999999999995</v>
      </c>
      <c r="L13" s="8">
        <f t="shared" si="4"/>
        <v>121</v>
      </c>
      <c r="M13" s="8">
        <f t="shared" si="5"/>
        <v>-0.56211891815354131</v>
      </c>
      <c r="N13" s="8">
        <f t="shared" si="6"/>
        <v>14641</v>
      </c>
      <c r="O13" s="8">
        <f t="shared" si="7"/>
        <v>0.31597767814610767</v>
      </c>
      <c r="P13" s="8">
        <f t="shared" si="8"/>
        <v>-68.016389096578493</v>
      </c>
      <c r="Q13" s="8">
        <f t="shared" si="9"/>
        <v>0.56146588750157445</v>
      </c>
      <c r="S13" s="5">
        <v>9</v>
      </c>
      <c r="T13" s="1">
        <v>121</v>
      </c>
      <c r="U13" s="1">
        <v>0.56999999999999995</v>
      </c>
      <c r="V13" s="8">
        <f t="shared" si="10"/>
        <v>121</v>
      </c>
      <c r="W13" s="8">
        <f t="shared" si="11"/>
        <v>-0.56211891815354131</v>
      </c>
      <c r="X13" s="8">
        <f t="shared" si="12"/>
        <v>14641</v>
      </c>
      <c r="Y13" s="8">
        <f t="shared" si="13"/>
        <v>0.31597767814610767</v>
      </c>
      <c r="Z13" s="8">
        <f t="shared" si="14"/>
        <v>-68.016389096578493</v>
      </c>
      <c r="AA13" s="8">
        <f t="shared" si="15"/>
        <v>0.56146588750157445</v>
      </c>
      <c r="AC13" s="5">
        <v>9</v>
      </c>
      <c r="AD13" s="1">
        <v>121</v>
      </c>
      <c r="AE13" s="1">
        <v>0.56999999999999995</v>
      </c>
      <c r="AF13" s="8">
        <f t="shared" si="16"/>
        <v>121</v>
      </c>
      <c r="AG13" s="8">
        <f t="shared" si="17"/>
        <v>-0.56211891815354131</v>
      </c>
      <c r="AH13" s="8">
        <f t="shared" si="18"/>
        <v>14641</v>
      </c>
      <c r="AI13" s="8">
        <f t="shared" si="19"/>
        <v>0.31597767814610767</v>
      </c>
      <c r="AJ13" s="8">
        <f t="shared" si="20"/>
        <v>-68.016389096578493</v>
      </c>
      <c r="AK13" s="8">
        <f t="shared" si="21"/>
        <v>0.56146588750157866</v>
      </c>
    </row>
    <row r="14" spans="1:37" x14ac:dyDescent="0.25">
      <c r="A14" s="5">
        <v>10</v>
      </c>
      <c r="B14" s="1">
        <v>130</v>
      </c>
      <c r="C14" s="1">
        <v>0.53</v>
      </c>
      <c r="D14" s="1">
        <f t="shared" si="0"/>
        <v>16900</v>
      </c>
      <c r="E14" s="1">
        <f t="shared" si="1"/>
        <v>0.28090000000000004</v>
      </c>
      <c r="F14" s="1">
        <f t="shared" si="2"/>
        <v>68.900000000000006</v>
      </c>
      <c r="G14">
        <f t="shared" si="3"/>
        <v>0.47661846081324977</v>
      </c>
      <c r="I14" s="5">
        <v>10</v>
      </c>
      <c r="J14" s="1">
        <v>130</v>
      </c>
      <c r="K14" s="1">
        <v>0.53</v>
      </c>
      <c r="L14" s="8">
        <f t="shared" si="4"/>
        <v>130</v>
      </c>
      <c r="M14" s="8">
        <f t="shared" si="5"/>
        <v>-0.6348782724359695</v>
      </c>
      <c r="N14" s="8">
        <f t="shared" si="6"/>
        <v>16900</v>
      </c>
      <c r="O14" s="8">
        <f t="shared" si="7"/>
        <v>0.40307042081128114</v>
      </c>
      <c r="P14" s="8">
        <f t="shared" si="8"/>
        <v>-82.534175416676035</v>
      </c>
      <c r="Q14" s="8">
        <f t="shared" si="9"/>
        <v>0.52045664260210867</v>
      </c>
      <c r="S14" s="5">
        <v>10</v>
      </c>
      <c r="T14" s="1">
        <v>130</v>
      </c>
      <c r="U14" s="1">
        <v>0.53</v>
      </c>
      <c r="V14" s="8">
        <f t="shared" si="10"/>
        <v>130</v>
      </c>
      <c r="W14" s="8">
        <f t="shared" si="11"/>
        <v>-0.6348782724359695</v>
      </c>
      <c r="X14" s="8">
        <f t="shared" si="12"/>
        <v>16900</v>
      </c>
      <c r="Y14" s="8">
        <f t="shared" si="13"/>
        <v>0.40307042081128114</v>
      </c>
      <c r="Z14" s="8">
        <f t="shared" si="14"/>
        <v>-82.534175416676035</v>
      </c>
      <c r="AA14" s="8">
        <f t="shared" si="15"/>
        <v>0.52045664260210889</v>
      </c>
      <c r="AC14" s="5">
        <v>10</v>
      </c>
      <c r="AD14" s="1">
        <v>130</v>
      </c>
      <c r="AE14" s="1">
        <v>0.53</v>
      </c>
      <c r="AF14" s="8">
        <f t="shared" si="16"/>
        <v>130</v>
      </c>
      <c r="AG14" s="8">
        <f t="shared" si="17"/>
        <v>-0.6348782724359695</v>
      </c>
      <c r="AH14" s="8">
        <f t="shared" si="18"/>
        <v>16900</v>
      </c>
      <c r="AI14" s="8">
        <f t="shared" si="19"/>
        <v>0.40307042081128114</v>
      </c>
      <c r="AJ14" s="8">
        <f t="shared" si="20"/>
        <v>-82.534175416676035</v>
      </c>
      <c r="AK14" s="8">
        <f t="shared" si="21"/>
        <v>0.520456642602113</v>
      </c>
    </row>
    <row r="15" spans="1:37" x14ac:dyDescent="0.25">
      <c r="A15" s="5">
        <v>11</v>
      </c>
      <c r="B15" s="1">
        <v>139</v>
      </c>
      <c r="C15" s="1">
        <v>0.51</v>
      </c>
      <c r="D15" s="1">
        <f t="shared" si="0"/>
        <v>19321</v>
      </c>
      <c r="E15" s="1">
        <f t="shared" si="1"/>
        <v>0.2601</v>
      </c>
      <c r="F15" s="1">
        <f t="shared" si="2"/>
        <v>70.89</v>
      </c>
      <c r="G15">
        <f t="shared" si="3"/>
        <v>0.40510432093771032</v>
      </c>
      <c r="I15" s="5">
        <v>11</v>
      </c>
      <c r="J15" s="1">
        <v>139</v>
      </c>
      <c r="K15" s="1">
        <v>0.51</v>
      </c>
      <c r="L15" s="8">
        <f t="shared" si="4"/>
        <v>139</v>
      </c>
      <c r="M15" s="8">
        <f t="shared" si="5"/>
        <v>-0.67334455326376563</v>
      </c>
      <c r="N15" s="8">
        <f t="shared" si="6"/>
        <v>19321</v>
      </c>
      <c r="O15" s="8">
        <f t="shared" si="7"/>
        <v>0.45339288740998013</v>
      </c>
      <c r="P15" s="8">
        <f t="shared" si="8"/>
        <v>-93.594892903663421</v>
      </c>
      <c r="Q15" s="8">
        <f t="shared" si="9"/>
        <v>0.48244269662402173</v>
      </c>
      <c r="S15" s="5">
        <v>11</v>
      </c>
      <c r="T15" s="1">
        <v>139</v>
      </c>
      <c r="U15" s="1">
        <v>0.51</v>
      </c>
      <c r="V15" s="8">
        <f t="shared" si="10"/>
        <v>139</v>
      </c>
      <c r="W15" s="8">
        <f t="shared" si="11"/>
        <v>-0.67334455326376563</v>
      </c>
      <c r="X15" s="8">
        <f t="shared" si="12"/>
        <v>19321</v>
      </c>
      <c r="Y15" s="8">
        <f t="shared" si="13"/>
        <v>0.45339288740998013</v>
      </c>
      <c r="Z15" s="8">
        <f t="shared" si="14"/>
        <v>-93.594892903663421</v>
      </c>
      <c r="AA15" s="8">
        <f t="shared" si="15"/>
        <v>0.48244269662402173</v>
      </c>
      <c r="AC15" s="5">
        <v>11</v>
      </c>
      <c r="AD15" s="1">
        <v>139</v>
      </c>
      <c r="AE15" s="1">
        <v>0.51</v>
      </c>
      <c r="AF15" s="8">
        <f t="shared" si="16"/>
        <v>139</v>
      </c>
      <c r="AG15" s="8">
        <f t="shared" si="17"/>
        <v>-0.67334455326376563</v>
      </c>
      <c r="AH15" s="8">
        <f t="shared" si="18"/>
        <v>19321</v>
      </c>
      <c r="AI15" s="8">
        <f t="shared" si="19"/>
        <v>0.45339288740998013</v>
      </c>
      <c r="AJ15" s="8">
        <f t="shared" si="20"/>
        <v>-93.594892903663421</v>
      </c>
      <c r="AK15" s="8">
        <f t="shared" si="21"/>
        <v>0.48244269662402584</v>
      </c>
    </row>
    <row r="16" spans="1:37" x14ac:dyDescent="0.25">
      <c r="A16" s="6">
        <v>12</v>
      </c>
      <c r="B16" s="2">
        <v>150</v>
      </c>
      <c r="C16" s="2">
        <v>0.5</v>
      </c>
      <c r="D16" s="2">
        <f t="shared" si="0"/>
        <v>22500</v>
      </c>
      <c r="E16" s="2">
        <f t="shared" si="1"/>
        <v>0.25</v>
      </c>
      <c r="F16" s="2">
        <f t="shared" si="2"/>
        <v>75</v>
      </c>
      <c r="G16" s="10">
        <f t="shared" si="3"/>
        <v>0.31769814997871748</v>
      </c>
      <c r="I16" s="6">
        <v>12</v>
      </c>
      <c r="J16" s="2">
        <v>150</v>
      </c>
      <c r="K16" s="2">
        <v>0.5</v>
      </c>
      <c r="L16" s="9">
        <f t="shared" si="4"/>
        <v>150</v>
      </c>
      <c r="M16" s="9">
        <f t="shared" si="5"/>
        <v>-0.69314718055994529</v>
      </c>
      <c r="N16" s="9">
        <f t="shared" si="6"/>
        <v>22500</v>
      </c>
      <c r="O16" s="9">
        <f t="shared" si="7"/>
        <v>0.48045301391820139</v>
      </c>
      <c r="P16" s="9">
        <f>L16*M16</f>
        <v>-103.97207708399179</v>
      </c>
      <c r="Q16" s="9">
        <f t="shared" si="9"/>
        <v>0.43973109685959982</v>
      </c>
      <c r="S16" s="6">
        <v>12</v>
      </c>
      <c r="T16" s="2">
        <v>150</v>
      </c>
      <c r="U16" s="2">
        <v>0.5</v>
      </c>
      <c r="V16" s="9">
        <f t="shared" si="10"/>
        <v>150</v>
      </c>
      <c r="W16" s="9">
        <f t="shared" si="11"/>
        <v>-0.69314718055994529</v>
      </c>
      <c r="X16" s="9">
        <f t="shared" si="12"/>
        <v>22500</v>
      </c>
      <c r="Y16" s="9">
        <f t="shared" si="13"/>
        <v>0.48045301391820139</v>
      </c>
      <c r="Z16" s="9">
        <f>V16*W16</f>
        <v>-103.97207708399179</v>
      </c>
      <c r="AA16" s="9">
        <f t="shared" si="15"/>
        <v>0.43973109685959988</v>
      </c>
      <c r="AC16" s="6">
        <v>12</v>
      </c>
      <c r="AD16" s="2">
        <v>150</v>
      </c>
      <c r="AE16" s="2">
        <v>0.5</v>
      </c>
      <c r="AF16" s="9">
        <f t="shared" si="16"/>
        <v>150</v>
      </c>
      <c r="AG16" s="9">
        <f t="shared" si="17"/>
        <v>-0.69314718055994529</v>
      </c>
      <c r="AH16" s="9">
        <f t="shared" si="18"/>
        <v>22500</v>
      </c>
      <c r="AI16" s="9">
        <f t="shared" si="19"/>
        <v>0.48045301391820139</v>
      </c>
      <c r="AJ16" s="9">
        <f>AF16*AG16</f>
        <v>-103.97207708399179</v>
      </c>
      <c r="AK16" s="9">
        <f t="shared" si="21"/>
        <v>0.43973109685960393</v>
      </c>
    </row>
    <row r="17" spans="1:37" x14ac:dyDescent="0.25">
      <c r="A17" s="5" t="s">
        <v>6</v>
      </c>
      <c r="B17" s="1">
        <f>SUM(B5:B16)</f>
        <v>1015</v>
      </c>
      <c r="C17" s="1">
        <f t="shared" ref="C17:F17" si="22">SUM(C5:C16)</f>
        <v>10.049999999999999</v>
      </c>
      <c r="D17" s="1">
        <f t="shared" si="22"/>
        <v>109541</v>
      </c>
      <c r="E17" s="1">
        <f t="shared" si="22"/>
        <v>10.4495</v>
      </c>
      <c r="F17" s="1">
        <f t="shared" si="22"/>
        <v>661.83</v>
      </c>
      <c r="I17" s="5" t="s">
        <v>6</v>
      </c>
      <c r="J17" s="1">
        <f>SUM(J5:J16)</f>
        <v>1015</v>
      </c>
      <c r="K17" s="1">
        <f t="shared" ref="K17:P17" si="23">SUM(K5:K16)</f>
        <v>10.049999999999999</v>
      </c>
      <c r="L17" s="1">
        <f t="shared" si="23"/>
        <v>1015</v>
      </c>
      <c r="M17" s="1">
        <f t="shared" si="23"/>
        <v>-3.2437824407946918</v>
      </c>
      <c r="N17" s="1">
        <f t="shared" si="23"/>
        <v>109541</v>
      </c>
      <c r="O17" s="1">
        <f t="shared" si="23"/>
        <v>2.843074528290721</v>
      </c>
      <c r="P17" s="1">
        <f t="shared" si="23"/>
        <v>-474.00020878559781</v>
      </c>
      <c r="Q17" s="1"/>
      <c r="S17" s="5" t="s">
        <v>6</v>
      </c>
      <c r="T17" s="1">
        <f>SUM(T5:T16)</f>
        <v>1015</v>
      </c>
      <c r="U17" s="1">
        <f t="shared" ref="U17:Z17" si="24">SUM(U5:U16)</f>
        <v>10.049999999999999</v>
      </c>
      <c r="V17" s="1">
        <f t="shared" si="24"/>
        <v>1015</v>
      </c>
      <c r="W17" s="1">
        <f t="shared" si="24"/>
        <v>-3.2437824407946918</v>
      </c>
      <c r="X17" s="1">
        <f t="shared" si="24"/>
        <v>109541</v>
      </c>
      <c r="Y17" s="1">
        <f t="shared" si="24"/>
        <v>2.843074528290721</v>
      </c>
      <c r="Z17" s="1">
        <f t="shared" si="24"/>
        <v>-474.00020878559781</v>
      </c>
      <c r="AA17" s="1"/>
      <c r="AC17" s="5" t="s">
        <v>6</v>
      </c>
      <c r="AD17" s="1">
        <f>SUM(AD5:AD16)</f>
        <v>1015</v>
      </c>
      <c r="AE17" s="1">
        <f t="shared" ref="AE17:AJ17" si="25">SUM(AE5:AE16)</f>
        <v>10.049999999999999</v>
      </c>
      <c r="AF17" s="1">
        <f t="shared" si="25"/>
        <v>1015</v>
      </c>
      <c r="AG17" s="1">
        <f t="shared" si="25"/>
        <v>-3.2437824407946918</v>
      </c>
      <c r="AH17" s="1">
        <f t="shared" si="25"/>
        <v>109541</v>
      </c>
      <c r="AI17" s="1">
        <f t="shared" si="25"/>
        <v>2.843074528290721</v>
      </c>
      <c r="AJ17" s="1">
        <f t="shared" si="25"/>
        <v>-474.00020878559781</v>
      </c>
      <c r="AK17" s="1"/>
    </row>
    <row r="19" spans="1:37" x14ac:dyDescent="0.25">
      <c r="A19" t="s">
        <v>10</v>
      </c>
      <c r="B19">
        <f xml:space="preserve"> ((A16 * F17)-(B17*C17))/((A16*D17)-(B17)^2)</f>
        <v>-7.946015541726607E-3</v>
      </c>
      <c r="I19" t="s">
        <v>25</v>
      </c>
      <c r="J19">
        <f xml:space="preserve"> ((I16 * P17)-(L17*M17))/((I16*N17)-(L17)^2)</f>
        <v>-8.4271594241349217E-3</v>
      </c>
      <c r="L19" t="s">
        <v>26</v>
      </c>
      <c r="M19">
        <f>J19</f>
        <v>-8.4271594241349217E-3</v>
      </c>
      <c r="S19" t="s">
        <v>25</v>
      </c>
      <c r="T19">
        <f xml:space="preserve"> ((S16 * Z17)-(V17*W17))/((S16*X17)-(V17)^2)</f>
        <v>-8.4271594241349217E-3</v>
      </c>
      <c r="V19" t="s">
        <v>26</v>
      </c>
      <c r="W19">
        <f>T19/LN(2)</f>
        <v>-1.2157821109980144E-2</v>
      </c>
      <c r="AC19" t="s">
        <v>25</v>
      </c>
      <c r="AD19">
        <f xml:space="preserve"> ((AC16 * AJ17)-(AF17*AG17))/((AC16*AH17)-(AF17)^2)</f>
        <v>-8.4271594241349217E-3</v>
      </c>
      <c r="AF19" t="s">
        <v>26</v>
      </c>
      <c r="AG19">
        <f>EXP(AD19)</f>
        <v>0.99160824954834781</v>
      </c>
    </row>
    <row r="20" spans="1:37" x14ac:dyDescent="0.25">
      <c r="A20" t="s">
        <v>9</v>
      </c>
      <c r="B20">
        <f>(C17/A16)-(B19*(B17/A16))</f>
        <v>1.5096004812377086</v>
      </c>
      <c r="I20" t="s">
        <v>24</v>
      </c>
      <c r="J20">
        <f>(M17/I16)-(J19*(L17/I16))</f>
        <v>0.44248203122518776</v>
      </c>
      <c r="L20" t="s">
        <v>27</v>
      </c>
      <c r="M20">
        <f>EXP(J20)</f>
        <v>1.5565658729807661</v>
      </c>
      <c r="S20" t="s">
        <v>24</v>
      </c>
      <c r="T20">
        <f>(W17/S16)-(T19*(V17/S16))</f>
        <v>0.44248203122518776</v>
      </c>
      <c r="V20" t="s">
        <v>27</v>
      </c>
      <c r="W20">
        <f>EXP(T20)</f>
        <v>1.5565658729807661</v>
      </c>
      <c r="AC20" t="s">
        <v>24</v>
      </c>
      <c r="AD20">
        <f>(AG17/AC16)-(AD19*(AF17/AC16))</f>
        <v>0.44248203122518776</v>
      </c>
      <c r="AF20" t="s">
        <v>27</v>
      </c>
      <c r="AG20">
        <f>EXP(AD20)</f>
        <v>1.5565658729807661</v>
      </c>
    </row>
    <row r="22" spans="1:37" x14ac:dyDescent="0.25">
      <c r="A22" t="s">
        <v>11</v>
      </c>
      <c r="B22">
        <f>((A16*F17)-(B17*C17))/(SQRT((A16*D17)-(B17)^2)*SQRT((A16*E17)-(C17)^2))</f>
        <v>-0.8578144917239956</v>
      </c>
      <c r="D22" t="s">
        <v>13</v>
      </c>
      <c r="E22">
        <v>100</v>
      </c>
      <c r="F22">
        <f>B19*E22+B20</f>
        <v>0.71499892706504797</v>
      </c>
      <c r="J22" t="s">
        <v>28</v>
      </c>
      <c r="K22" t="s">
        <v>29</v>
      </c>
      <c r="M22" t="s">
        <v>30</v>
      </c>
      <c r="N22">
        <v>100</v>
      </c>
      <c r="O22">
        <f>M$20*EXP(M$19*N22)</f>
        <v>0.67016326901379153</v>
      </c>
      <c r="T22" t="s">
        <v>28</v>
      </c>
      <c r="U22" t="s">
        <v>29</v>
      </c>
      <c r="W22" t="s">
        <v>30</v>
      </c>
      <c r="X22">
        <v>100</v>
      </c>
      <c r="Y22">
        <f>W$20*2^(W$19*X22)</f>
        <v>0.67016326901379142</v>
      </c>
      <c r="AD22" t="s">
        <v>28</v>
      </c>
      <c r="AE22" t="s">
        <v>29</v>
      </c>
      <c r="AG22" t="s">
        <v>30</v>
      </c>
      <c r="AH22">
        <v>100</v>
      </c>
      <c r="AI22">
        <f>AG$20*AG$19^(AH22)</f>
        <v>0.67016326901379564</v>
      </c>
    </row>
    <row r="23" spans="1:37" x14ac:dyDescent="0.25">
      <c r="A23" t="s">
        <v>12</v>
      </c>
      <c r="B23">
        <f>B22*B22</f>
        <v>0.73584570221169687</v>
      </c>
      <c r="I23" t="s">
        <v>11</v>
      </c>
      <c r="J23">
        <f>((I16*P17)-(L17*M17))/(SQRT((I16*N17)-(L17)^2)*SQRT((I16*O17)-(M17)^2))</f>
        <v>-0.92498898402045826</v>
      </c>
      <c r="K23">
        <f>CORREL(K5:K16,Q5:Q16)</f>
        <v>0.91586279779825963</v>
      </c>
      <c r="S23" t="s">
        <v>11</v>
      </c>
      <c r="T23">
        <f>((S16*Z17)-(V17*W17))/(SQRT((S16*X17)-(V17)^2)*SQRT((S16*Y17)-(W17)^2))</f>
        <v>-0.92498898402045826</v>
      </c>
      <c r="U23">
        <f>CORREL(U5:U16,AA5:AA16)</f>
        <v>0.91586279779825963</v>
      </c>
      <c r="AC23" t="s">
        <v>11</v>
      </c>
      <c r="AD23">
        <f>((AC16*AJ17)-(AF17*AG17))/(SQRT((AC16*AH17)-(AF17)^2)*SQRT((AC16*AI17)-(AG17)^2))</f>
        <v>-0.92498898402045826</v>
      </c>
      <c r="AE23">
        <f>CORREL(AE5:AE16,AK5:AK16)</f>
        <v>0.91586279779825908</v>
      </c>
    </row>
    <row r="24" spans="1:37" x14ac:dyDescent="0.25">
      <c r="I24" t="s">
        <v>12</v>
      </c>
      <c r="J24">
        <f>J23*J23</f>
        <v>0.85560462055919961</v>
      </c>
      <c r="K24">
        <f>K23^2</f>
        <v>0.83880466439085577</v>
      </c>
      <c r="S24" t="s">
        <v>12</v>
      </c>
      <c r="T24">
        <f>T23*T23</f>
        <v>0.85560462055919961</v>
      </c>
      <c r="U24">
        <f>U23^2</f>
        <v>0.83880466439085577</v>
      </c>
      <c r="AC24" t="s">
        <v>12</v>
      </c>
      <c r="AD24">
        <f>AD23*AD23</f>
        <v>0.85560462055919961</v>
      </c>
      <c r="AE24">
        <f>AE23^2</f>
        <v>0.83880466439085477</v>
      </c>
    </row>
    <row r="42" spans="9:37" x14ac:dyDescent="0.25">
      <c r="I42" t="s">
        <v>35</v>
      </c>
      <c r="S42" t="s">
        <v>39</v>
      </c>
      <c r="AC42" t="s">
        <v>41</v>
      </c>
    </row>
    <row r="43" spans="9:37" x14ac:dyDescent="0.25">
      <c r="I43" t="s">
        <v>36</v>
      </c>
      <c r="S43" t="s">
        <v>40</v>
      </c>
      <c r="AC43" t="s">
        <v>42</v>
      </c>
    </row>
    <row r="44" spans="9:37" x14ac:dyDescent="0.25">
      <c r="I44" s="11" t="s">
        <v>0</v>
      </c>
      <c r="J44" s="11" t="s">
        <v>1</v>
      </c>
      <c r="K44" s="11" t="s">
        <v>2</v>
      </c>
      <c r="L44" s="11" t="s">
        <v>38</v>
      </c>
      <c r="M44" s="11" t="s">
        <v>37</v>
      </c>
      <c r="N44" s="11" t="s">
        <v>19</v>
      </c>
      <c r="O44" s="11" t="s">
        <v>20</v>
      </c>
      <c r="P44" s="11" t="s">
        <v>21</v>
      </c>
      <c r="Q44" s="11" t="s">
        <v>30</v>
      </c>
      <c r="S44" s="11" t="s">
        <v>14</v>
      </c>
      <c r="T44" s="11" t="s">
        <v>1</v>
      </c>
      <c r="U44" s="11" t="s">
        <v>2</v>
      </c>
      <c r="V44" s="11" t="s">
        <v>38</v>
      </c>
      <c r="W44" s="11" t="s">
        <v>18</v>
      </c>
      <c r="X44" s="11" t="s">
        <v>19</v>
      </c>
      <c r="Y44" s="11" t="s">
        <v>20</v>
      </c>
      <c r="Z44" s="11" t="s">
        <v>21</v>
      </c>
      <c r="AA44" s="11" t="s">
        <v>30</v>
      </c>
      <c r="AC44" s="11" t="s">
        <v>0</v>
      </c>
      <c r="AD44" s="11" t="s">
        <v>1</v>
      </c>
      <c r="AE44" s="11" t="s">
        <v>2</v>
      </c>
      <c r="AF44" s="11" t="s">
        <v>43</v>
      </c>
      <c r="AG44" s="11" t="s">
        <v>37</v>
      </c>
      <c r="AH44" s="11" t="s">
        <v>19</v>
      </c>
      <c r="AI44" s="11" t="s">
        <v>20</v>
      </c>
      <c r="AJ44" s="11" t="s">
        <v>21</v>
      </c>
      <c r="AK44" s="11" t="s">
        <v>30</v>
      </c>
    </row>
    <row r="45" spans="9:37" x14ac:dyDescent="0.25">
      <c r="I45" s="12"/>
      <c r="J45" s="12"/>
      <c r="K45" s="12"/>
      <c r="L45" s="12"/>
      <c r="M45" s="12"/>
      <c r="N45" s="12"/>
      <c r="O45" s="12"/>
      <c r="P45" s="12"/>
      <c r="Q45" s="12"/>
      <c r="S45" s="12"/>
      <c r="T45" s="12"/>
      <c r="U45" s="12"/>
      <c r="V45" s="12"/>
      <c r="W45" s="12"/>
      <c r="X45" s="12"/>
      <c r="Y45" s="12"/>
      <c r="Z45" s="12"/>
      <c r="AA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9:37" x14ac:dyDescent="0.25">
      <c r="I46" s="5">
        <v>1</v>
      </c>
      <c r="J46" s="1">
        <v>13</v>
      </c>
      <c r="K46" s="1">
        <v>1.84</v>
      </c>
      <c r="L46" s="8">
        <f>LN(J46)</f>
        <v>2.5649493574615367</v>
      </c>
      <c r="M46" s="8">
        <f>K46</f>
        <v>1.84</v>
      </c>
      <c r="N46" s="8">
        <f>L46^2</f>
        <v>6.5789652063423505</v>
      </c>
      <c r="O46" s="8">
        <f>M46^2</f>
        <v>3.3856000000000002</v>
      </c>
      <c r="P46" s="8">
        <f>L46*M46</f>
        <v>4.7195068177292274</v>
      </c>
      <c r="Q46" s="8">
        <f>M$61+(M$60*LN(J46))</f>
        <v>1.7138129637073982</v>
      </c>
      <c r="S46" s="5">
        <v>1</v>
      </c>
      <c r="T46" s="1">
        <v>13</v>
      </c>
      <c r="U46" s="1">
        <v>1.84</v>
      </c>
      <c r="V46" s="8">
        <f>LN(T46)</f>
        <v>2.5649493574615367</v>
      </c>
      <c r="W46" s="8">
        <f>LN(U46)</f>
        <v>0.60976557162089429</v>
      </c>
      <c r="X46" s="8">
        <f>V46^2</f>
        <v>6.5789652063423505</v>
      </c>
      <c r="Y46" s="8">
        <f>W46^2</f>
        <v>0.37181405233415599</v>
      </c>
      <c r="Z46" s="8">
        <f>V46*W46</f>
        <v>1.5640178111311795</v>
      </c>
      <c r="AA46" s="8">
        <f>W$61*(T46^W$60)</f>
        <v>1.8307031836389185</v>
      </c>
      <c r="AC46" s="5">
        <v>1</v>
      </c>
      <c r="AD46" s="1">
        <v>13</v>
      </c>
      <c r="AE46" s="1">
        <v>1.84</v>
      </c>
      <c r="AF46" s="8">
        <f>1/AD46</f>
        <v>7.6923076923076927E-2</v>
      </c>
      <c r="AG46" s="8">
        <f>AE46</f>
        <v>1.84</v>
      </c>
      <c r="AH46" s="8">
        <f>AF46^2</f>
        <v>5.9171597633136102E-3</v>
      </c>
      <c r="AI46" s="8">
        <f>AG46^2</f>
        <v>3.3856000000000002</v>
      </c>
      <c r="AJ46" s="8">
        <f>AF46*AG46</f>
        <v>0.14153846153846156</v>
      </c>
      <c r="AK46" s="8">
        <f>AG$61+(AG$60/AD46)</f>
        <v>1.9421646654302334</v>
      </c>
    </row>
    <row r="47" spans="9:37" x14ac:dyDescent="0.25">
      <c r="I47" s="5">
        <v>2</v>
      </c>
      <c r="J47" s="1">
        <v>20</v>
      </c>
      <c r="K47" s="1">
        <v>1.57</v>
      </c>
      <c r="L47" s="8">
        <f t="shared" ref="L47:L57" si="26">LN(J47)</f>
        <v>2.9957322735539909</v>
      </c>
      <c r="M47" s="8">
        <f t="shared" ref="M47:M57" si="27">K47</f>
        <v>1.57</v>
      </c>
      <c r="N47" s="8">
        <f t="shared" ref="N47:N57" si="28">L47^2</f>
        <v>8.9744118548129634</v>
      </c>
      <c r="O47" s="8">
        <f t="shared" ref="O47:O57" si="29">M47^2</f>
        <v>2.4649000000000001</v>
      </c>
      <c r="P47" s="8">
        <f t="shared" ref="P47:P56" si="30">L47*M47</f>
        <v>4.7032996694797662</v>
      </c>
      <c r="Q47" s="8">
        <f t="shared" ref="Q47:Q57" si="31">M$61+(M$60*LN(J47))</f>
        <v>1.4859648094115183</v>
      </c>
      <c r="S47" s="5">
        <v>2</v>
      </c>
      <c r="T47" s="1">
        <v>20</v>
      </c>
      <c r="U47" s="1">
        <v>1.57</v>
      </c>
      <c r="V47" s="8">
        <f t="shared" ref="V47:V57" si="32">LN(T47)</f>
        <v>2.9957322735539909</v>
      </c>
      <c r="W47" s="8">
        <f t="shared" ref="W47:W57" si="33">LN(U47)</f>
        <v>0.45107561936021673</v>
      </c>
      <c r="X47" s="8">
        <f t="shared" ref="X47:X57" si="34">V47^2</f>
        <v>8.9744118548129634</v>
      </c>
      <c r="Y47" s="8">
        <f t="shared" ref="Y47:Y57" si="35">W47^2</f>
        <v>0.20346921438120313</v>
      </c>
      <c r="Z47" s="8">
        <f t="shared" ref="Z47:Z56" si="36">V47*W47</f>
        <v>1.3513017907307567</v>
      </c>
      <c r="AA47" s="8">
        <f t="shared" ref="AA47:AA57" si="37">W$61*(T47^W$60)</f>
        <v>1.4581804360104207</v>
      </c>
      <c r="AC47" s="5">
        <v>2</v>
      </c>
      <c r="AD47" s="1">
        <v>20</v>
      </c>
      <c r="AE47" s="1">
        <v>1.57</v>
      </c>
      <c r="AF47" s="8">
        <f t="shared" ref="AF47:AF57" si="38">1/AD47</f>
        <v>0.05</v>
      </c>
      <c r="AG47" s="8">
        <f t="shared" ref="AG47:AG57" si="39">AE47</f>
        <v>1.57</v>
      </c>
      <c r="AH47" s="8">
        <f t="shared" ref="AH47:AH57" si="40">AF47^2</f>
        <v>2.5000000000000005E-3</v>
      </c>
      <c r="AI47" s="8">
        <f t="shared" ref="AI47:AI57" si="41">AG47^2</f>
        <v>2.4649000000000001</v>
      </c>
      <c r="AJ47" s="8">
        <f t="shared" ref="AJ47:AJ56" si="42">AF47*AG47</f>
        <v>7.8500000000000014E-2</v>
      </c>
      <c r="AK47" s="8">
        <f t="shared" ref="AK47:AK57" si="43">AG$61+(AG$60/AD47)</f>
        <v>1.4140276813530748</v>
      </c>
    </row>
    <row r="48" spans="9:37" x14ac:dyDescent="0.25">
      <c r="I48" s="5">
        <v>3</v>
      </c>
      <c r="J48" s="1">
        <v>40</v>
      </c>
      <c r="K48" s="1">
        <v>0.92</v>
      </c>
      <c r="L48" s="8">
        <f t="shared" si="26"/>
        <v>3.6888794541139363</v>
      </c>
      <c r="M48" s="8">
        <f t="shared" si="27"/>
        <v>0.92</v>
      </c>
      <c r="N48" s="8">
        <f t="shared" si="28"/>
        <v>13.607831626983932</v>
      </c>
      <c r="O48" s="8">
        <f t="shared" si="29"/>
        <v>0.84640000000000004</v>
      </c>
      <c r="P48" s="8">
        <f t="shared" si="30"/>
        <v>3.3937690977848214</v>
      </c>
      <c r="Q48" s="8">
        <f t="shared" si="31"/>
        <v>1.1193478897375697</v>
      </c>
      <c r="S48" s="5">
        <v>3</v>
      </c>
      <c r="T48" s="1">
        <v>40</v>
      </c>
      <c r="U48" s="1">
        <v>0.92</v>
      </c>
      <c r="V48" s="8">
        <f t="shared" si="32"/>
        <v>3.6888794541139363</v>
      </c>
      <c r="W48" s="8">
        <f t="shared" si="33"/>
        <v>-8.3381608939051013E-2</v>
      </c>
      <c r="X48" s="8">
        <f t="shared" si="34"/>
        <v>13.607831626983932</v>
      </c>
      <c r="Y48" s="8">
        <f t="shared" si="35"/>
        <v>6.952492709264832E-3</v>
      </c>
      <c r="Z48" s="8">
        <f t="shared" si="36"/>
        <v>-0.30758470406622823</v>
      </c>
      <c r="AA48" s="8">
        <f t="shared" si="37"/>
        <v>1.0111773406043085</v>
      </c>
      <c r="AC48" s="5">
        <v>3</v>
      </c>
      <c r="AD48" s="1">
        <v>40</v>
      </c>
      <c r="AE48" s="1">
        <v>0.92</v>
      </c>
      <c r="AF48" s="8">
        <f t="shared" si="38"/>
        <v>2.5000000000000001E-2</v>
      </c>
      <c r="AG48" s="8">
        <f t="shared" si="39"/>
        <v>0.92</v>
      </c>
      <c r="AH48" s="8">
        <f t="shared" si="40"/>
        <v>6.2500000000000012E-4</v>
      </c>
      <c r="AI48" s="8">
        <f t="shared" si="41"/>
        <v>0.84640000000000004</v>
      </c>
      <c r="AJ48" s="8">
        <f t="shared" si="42"/>
        <v>2.3000000000000003E-2</v>
      </c>
      <c r="AK48" s="8">
        <f t="shared" si="43"/>
        <v>0.92361476756714167</v>
      </c>
    </row>
    <row r="49" spans="9:37" x14ac:dyDescent="0.25">
      <c r="I49" s="5">
        <v>4</v>
      </c>
      <c r="J49" s="1">
        <v>55</v>
      </c>
      <c r="K49" s="1">
        <v>0.7</v>
      </c>
      <c r="L49" s="8">
        <f t="shared" si="26"/>
        <v>4.0073331852324712</v>
      </c>
      <c r="M49" s="8">
        <f t="shared" si="27"/>
        <v>0.7</v>
      </c>
      <c r="N49" s="8">
        <f t="shared" si="28"/>
        <v>16.058719257465423</v>
      </c>
      <c r="O49" s="8">
        <f t="shared" si="29"/>
        <v>0.48999999999999994</v>
      </c>
      <c r="P49" s="8">
        <f t="shared" si="30"/>
        <v>2.8051332296627298</v>
      </c>
      <c r="Q49" s="8">
        <f t="shared" si="31"/>
        <v>0.95091248491194724</v>
      </c>
      <c r="S49" s="5">
        <v>4</v>
      </c>
      <c r="T49" s="1">
        <v>55</v>
      </c>
      <c r="U49" s="1">
        <v>0.7</v>
      </c>
      <c r="V49" s="8">
        <f t="shared" si="32"/>
        <v>4.0073331852324712</v>
      </c>
      <c r="W49" s="8">
        <f t="shared" si="33"/>
        <v>-0.35667494393873245</v>
      </c>
      <c r="X49" s="8">
        <f t="shared" si="34"/>
        <v>16.058719257465423</v>
      </c>
      <c r="Y49" s="8">
        <f t="shared" si="35"/>
        <v>0.12721701563369794</v>
      </c>
      <c r="Z49" s="8">
        <f t="shared" si="36"/>
        <v>-1.4293153391866138</v>
      </c>
      <c r="AA49" s="8">
        <f t="shared" si="37"/>
        <v>0.85464367117775353</v>
      </c>
      <c r="AC49" s="5">
        <v>4</v>
      </c>
      <c r="AD49" s="1">
        <v>55</v>
      </c>
      <c r="AE49" s="1">
        <v>0.7</v>
      </c>
      <c r="AF49" s="8">
        <f t="shared" si="38"/>
        <v>1.8181818181818181E-2</v>
      </c>
      <c r="AG49" s="8">
        <f t="shared" si="39"/>
        <v>0.7</v>
      </c>
      <c r="AH49" s="8">
        <f t="shared" si="40"/>
        <v>3.3057851239669419E-4</v>
      </c>
      <c r="AI49" s="8">
        <f t="shared" si="41"/>
        <v>0.48999999999999994</v>
      </c>
      <c r="AJ49" s="8">
        <f t="shared" si="42"/>
        <v>1.2727272727272726E-2</v>
      </c>
      <c r="AK49" s="8">
        <f t="shared" si="43"/>
        <v>0.78986579108006905</v>
      </c>
    </row>
    <row r="50" spans="9:37" x14ac:dyDescent="0.25">
      <c r="I50" s="5">
        <v>5</v>
      </c>
      <c r="J50" s="1">
        <v>70</v>
      </c>
      <c r="K50" s="1">
        <v>0.84</v>
      </c>
      <c r="L50" s="8">
        <f t="shared" si="26"/>
        <v>4.2484952420493594</v>
      </c>
      <c r="M50" s="8">
        <f t="shared" si="27"/>
        <v>0.84</v>
      </c>
      <c r="N50" s="8">
        <f t="shared" si="28"/>
        <v>18.049711821716045</v>
      </c>
      <c r="O50" s="8">
        <f t="shared" si="29"/>
        <v>0.70559999999999989</v>
      </c>
      <c r="P50" s="8">
        <f t="shared" si="30"/>
        <v>3.5687360033214617</v>
      </c>
      <c r="Q50" s="8">
        <f t="shared" si="31"/>
        <v>0.82335791512920986</v>
      </c>
      <c r="S50" s="5">
        <v>5</v>
      </c>
      <c r="T50" s="1">
        <v>70</v>
      </c>
      <c r="U50" s="1">
        <v>0.84</v>
      </c>
      <c r="V50" s="8">
        <f t="shared" si="32"/>
        <v>4.2484952420493594</v>
      </c>
      <c r="W50" s="8">
        <f t="shared" si="33"/>
        <v>-0.1743533871447778</v>
      </c>
      <c r="X50" s="8">
        <f t="shared" si="34"/>
        <v>18.049711821716045</v>
      </c>
      <c r="Y50" s="8">
        <f t="shared" si="35"/>
        <v>3.0399103608856767E-2</v>
      </c>
      <c r="Z50" s="8">
        <f t="shared" si="36"/>
        <v>-0.74073953571977846</v>
      </c>
      <c r="AA50" s="8">
        <f t="shared" si="37"/>
        <v>0.75243824877075183</v>
      </c>
      <c r="AC50" s="5">
        <v>5</v>
      </c>
      <c r="AD50" s="1">
        <v>70</v>
      </c>
      <c r="AE50" s="1">
        <v>0.84</v>
      </c>
      <c r="AF50" s="8">
        <f t="shared" si="38"/>
        <v>1.4285714285714285E-2</v>
      </c>
      <c r="AG50" s="8">
        <f t="shared" si="39"/>
        <v>0.84</v>
      </c>
      <c r="AH50" s="8">
        <f t="shared" si="40"/>
        <v>2.040816326530612E-4</v>
      </c>
      <c r="AI50" s="8">
        <f t="shared" si="41"/>
        <v>0.70559999999999989</v>
      </c>
      <c r="AJ50" s="8">
        <f t="shared" si="42"/>
        <v>1.1999999999999999E-2</v>
      </c>
      <c r="AK50" s="8">
        <f t="shared" si="43"/>
        <v>0.71343780451602745</v>
      </c>
    </row>
    <row r="51" spans="9:37" x14ac:dyDescent="0.25">
      <c r="I51" s="5">
        <v>6</v>
      </c>
      <c r="J51" s="1">
        <v>79</v>
      </c>
      <c r="K51" s="1">
        <v>0.77</v>
      </c>
      <c r="L51" s="8">
        <f t="shared" si="26"/>
        <v>4.3694478524670215</v>
      </c>
      <c r="M51" s="8">
        <f t="shared" si="27"/>
        <v>0.77</v>
      </c>
      <c r="N51" s="8">
        <f t="shared" si="28"/>
        <v>19.092074535428665</v>
      </c>
      <c r="O51" s="8">
        <f t="shared" si="29"/>
        <v>0.59289999999999998</v>
      </c>
      <c r="P51" s="8">
        <f t="shared" si="30"/>
        <v>3.3644748463996068</v>
      </c>
      <c r="Q51" s="8">
        <f t="shared" si="31"/>
        <v>0.75938409441479182</v>
      </c>
      <c r="S51" s="5">
        <v>6</v>
      </c>
      <c r="T51" s="1">
        <v>79</v>
      </c>
      <c r="U51" s="1">
        <v>0.77</v>
      </c>
      <c r="V51" s="8">
        <f t="shared" si="32"/>
        <v>4.3694478524670215</v>
      </c>
      <c r="W51" s="8">
        <f t="shared" si="33"/>
        <v>-0.26136476413440751</v>
      </c>
      <c r="X51" s="8">
        <f t="shared" si="34"/>
        <v>19.092074535428665</v>
      </c>
      <c r="Y51" s="8">
        <f t="shared" si="35"/>
        <v>6.8311539931034476E-2</v>
      </c>
      <c r="Z51" s="8">
        <f t="shared" si="36"/>
        <v>-1.1420197073576366</v>
      </c>
      <c r="AA51" s="8">
        <f t="shared" si="37"/>
        <v>0.70587618116539086</v>
      </c>
      <c r="AC51" s="5">
        <v>6</v>
      </c>
      <c r="AD51" s="1">
        <v>79</v>
      </c>
      <c r="AE51" s="1">
        <v>0.77</v>
      </c>
      <c r="AF51" s="8">
        <f t="shared" si="38"/>
        <v>1.2658227848101266E-2</v>
      </c>
      <c r="AG51" s="8">
        <f t="shared" si="39"/>
        <v>0.77</v>
      </c>
      <c r="AH51" s="8">
        <f t="shared" si="40"/>
        <v>1.602307322544464E-4</v>
      </c>
      <c r="AI51" s="8">
        <f t="shared" si="41"/>
        <v>0.59289999999999998</v>
      </c>
      <c r="AJ51" s="8">
        <f t="shared" si="42"/>
        <v>9.7468354430379749E-3</v>
      </c>
      <c r="AK51" s="8">
        <f t="shared" si="43"/>
        <v>0.68151218987535189</v>
      </c>
    </row>
    <row r="52" spans="9:37" x14ac:dyDescent="0.25">
      <c r="I52" s="5">
        <v>7</v>
      </c>
      <c r="J52" s="1">
        <v>88</v>
      </c>
      <c r="K52" s="1">
        <v>0.69</v>
      </c>
      <c r="L52" s="8">
        <f t="shared" si="26"/>
        <v>4.4773368144782069</v>
      </c>
      <c r="M52" s="8">
        <f t="shared" si="27"/>
        <v>0.69</v>
      </c>
      <c r="N52" s="8">
        <f t="shared" si="28"/>
        <v>20.046544950281856</v>
      </c>
      <c r="O52" s="8">
        <f t="shared" si="29"/>
        <v>0.47609999999999991</v>
      </c>
      <c r="P52" s="8">
        <f t="shared" si="30"/>
        <v>3.0893624019899626</v>
      </c>
      <c r="Q52" s="8">
        <f t="shared" si="31"/>
        <v>0.70231985174210632</v>
      </c>
      <c r="S52" s="5">
        <v>7</v>
      </c>
      <c r="T52" s="1">
        <v>88</v>
      </c>
      <c r="U52" s="1">
        <v>0.69</v>
      </c>
      <c r="V52" s="8">
        <f t="shared" si="32"/>
        <v>4.4773368144782069</v>
      </c>
      <c r="W52" s="8">
        <f t="shared" si="33"/>
        <v>-0.37106368139083207</v>
      </c>
      <c r="X52" s="8">
        <f t="shared" si="34"/>
        <v>20.046544950281856</v>
      </c>
      <c r="Y52" s="8">
        <f t="shared" si="35"/>
        <v>0.13768825564731693</v>
      </c>
      <c r="Z52" s="8">
        <f t="shared" si="36"/>
        <v>-1.6613770812069844</v>
      </c>
      <c r="AA52" s="8">
        <f t="shared" si="37"/>
        <v>0.66677996064921574</v>
      </c>
      <c r="AC52" s="5">
        <v>7</v>
      </c>
      <c r="AD52" s="1">
        <v>88</v>
      </c>
      <c r="AE52" s="1">
        <v>0.69</v>
      </c>
      <c r="AF52" s="8">
        <f t="shared" si="38"/>
        <v>1.1363636363636364E-2</v>
      </c>
      <c r="AG52" s="8">
        <f t="shared" si="39"/>
        <v>0.69</v>
      </c>
      <c r="AH52" s="8">
        <f t="shared" si="40"/>
        <v>1.2913223140495868E-4</v>
      </c>
      <c r="AI52" s="8">
        <f t="shared" si="41"/>
        <v>0.47609999999999991</v>
      </c>
      <c r="AJ52" s="8">
        <f t="shared" si="42"/>
        <v>7.8409090909090911E-3</v>
      </c>
      <c r="AK52" s="8">
        <f t="shared" si="43"/>
        <v>0.65611681459299631</v>
      </c>
    </row>
    <row r="53" spans="9:37" x14ac:dyDescent="0.25">
      <c r="I53" s="5">
        <v>8</v>
      </c>
      <c r="J53" s="1">
        <v>110</v>
      </c>
      <c r="K53" s="1">
        <v>0.61</v>
      </c>
      <c r="L53" s="8">
        <f t="shared" si="26"/>
        <v>4.7004803657924166</v>
      </c>
      <c r="M53" s="8">
        <f t="shared" si="27"/>
        <v>0.61</v>
      </c>
      <c r="N53" s="8">
        <f t="shared" si="28"/>
        <v>22.09451566920001</v>
      </c>
      <c r="O53" s="8">
        <f t="shared" si="29"/>
        <v>0.37209999999999999</v>
      </c>
      <c r="P53" s="8">
        <f t="shared" si="30"/>
        <v>2.867293023133374</v>
      </c>
      <c r="Q53" s="8">
        <f t="shared" si="31"/>
        <v>0.58429556523799864</v>
      </c>
      <c r="S53" s="5">
        <v>8</v>
      </c>
      <c r="T53" s="1">
        <v>110</v>
      </c>
      <c r="U53" s="1">
        <v>0.61</v>
      </c>
      <c r="V53" s="8">
        <f t="shared" si="32"/>
        <v>4.7004803657924166</v>
      </c>
      <c r="W53" s="8">
        <f t="shared" si="33"/>
        <v>-0.49429632181478012</v>
      </c>
      <c r="X53" s="8">
        <f t="shared" si="34"/>
        <v>22.09451566920001</v>
      </c>
      <c r="Y53" s="8">
        <f t="shared" si="35"/>
        <v>0.24432885375962066</v>
      </c>
      <c r="Z53" s="8">
        <f t="shared" si="36"/>
        <v>-2.3234301555737837</v>
      </c>
      <c r="AA53" s="8">
        <f t="shared" si="37"/>
        <v>0.59265389470610619</v>
      </c>
      <c r="AC53" s="5">
        <v>8</v>
      </c>
      <c r="AD53" s="1">
        <v>110</v>
      </c>
      <c r="AE53" s="1">
        <v>0.61</v>
      </c>
      <c r="AF53" s="8">
        <f t="shared" si="38"/>
        <v>9.0909090909090905E-3</v>
      </c>
      <c r="AG53" s="8">
        <f t="shared" si="39"/>
        <v>0.61</v>
      </c>
      <c r="AH53" s="8">
        <f t="shared" si="40"/>
        <v>8.2644628099173546E-5</v>
      </c>
      <c r="AI53" s="8">
        <f t="shared" si="41"/>
        <v>0.37209999999999999</v>
      </c>
      <c r="AJ53" s="8">
        <f t="shared" si="42"/>
        <v>5.5454545454545453E-3</v>
      </c>
      <c r="AK53" s="8">
        <f t="shared" si="43"/>
        <v>0.61153382243063881</v>
      </c>
    </row>
    <row r="54" spans="9:37" x14ac:dyDescent="0.25">
      <c r="I54" s="5">
        <v>9</v>
      </c>
      <c r="J54" s="1">
        <v>121</v>
      </c>
      <c r="K54" s="1">
        <v>0.56999999999999995</v>
      </c>
      <c r="L54" s="8">
        <f t="shared" si="26"/>
        <v>4.7957905455967413</v>
      </c>
      <c r="M54" s="8">
        <f t="shared" si="27"/>
        <v>0.56999999999999995</v>
      </c>
      <c r="N54" s="8">
        <f t="shared" si="28"/>
        <v>22.999606957235091</v>
      </c>
      <c r="O54" s="8">
        <f t="shared" si="29"/>
        <v>0.32489999999999997</v>
      </c>
      <c r="P54" s="8">
        <f t="shared" si="30"/>
        <v>2.7336006109901425</v>
      </c>
      <c r="Q54" s="8">
        <f t="shared" si="31"/>
        <v>0.53388444691648429</v>
      </c>
      <c r="S54" s="5">
        <v>9</v>
      </c>
      <c r="T54" s="1">
        <v>121</v>
      </c>
      <c r="U54" s="1">
        <v>0.56999999999999995</v>
      </c>
      <c r="V54" s="8">
        <f t="shared" si="32"/>
        <v>4.7957905455967413</v>
      </c>
      <c r="W54" s="8">
        <f t="shared" si="33"/>
        <v>-0.56211891815354131</v>
      </c>
      <c r="X54" s="8">
        <f t="shared" si="34"/>
        <v>22.999606957235091</v>
      </c>
      <c r="Y54" s="8">
        <f t="shared" si="35"/>
        <v>0.31597767814610767</v>
      </c>
      <c r="Z54" s="8">
        <f t="shared" si="36"/>
        <v>-2.6958045931818218</v>
      </c>
      <c r="AA54" s="8">
        <f t="shared" si="37"/>
        <v>0.56356016947179588</v>
      </c>
      <c r="AC54" s="5">
        <v>9</v>
      </c>
      <c r="AD54" s="1">
        <v>121</v>
      </c>
      <c r="AE54" s="1">
        <v>0.56999999999999995</v>
      </c>
      <c r="AF54" s="8">
        <f t="shared" si="38"/>
        <v>8.2644628099173556E-3</v>
      </c>
      <c r="AG54" s="8">
        <f t="shared" si="39"/>
        <v>0.56999999999999995</v>
      </c>
      <c r="AH54" s="8">
        <f t="shared" si="40"/>
        <v>6.8301345536507077E-5</v>
      </c>
      <c r="AI54" s="8">
        <f t="shared" si="41"/>
        <v>0.32489999999999997</v>
      </c>
      <c r="AJ54" s="8">
        <f t="shared" si="42"/>
        <v>4.7107438016528924E-3</v>
      </c>
      <c r="AK54" s="8">
        <f t="shared" si="43"/>
        <v>0.59532182528069066</v>
      </c>
    </row>
    <row r="55" spans="9:37" x14ac:dyDescent="0.25">
      <c r="I55" s="5">
        <v>10</v>
      </c>
      <c r="J55" s="1">
        <v>130</v>
      </c>
      <c r="K55" s="1">
        <v>0.53</v>
      </c>
      <c r="L55" s="8">
        <f t="shared" si="26"/>
        <v>4.8675344504555822</v>
      </c>
      <c r="M55" s="8">
        <f t="shared" si="27"/>
        <v>0.53</v>
      </c>
      <c r="N55" s="8">
        <f t="shared" si="28"/>
        <v>23.692891626371928</v>
      </c>
      <c r="O55" s="8">
        <f t="shared" si="29"/>
        <v>0.28090000000000004</v>
      </c>
      <c r="P55" s="8">
        <f t="shared" si="30"/>
        <v>2.5797932587414585</v>
      </c>
      <c r="Q55" s="8">
        <f t="shared" si="31"/>
        <v>0.49593791818144561</v>
      </c>
      <c r="S55" s="5">
        <v>10</v>
      </c>
      <c r="T55" s="1">
        <v>130</v>
      </c>
      <c r="U55" s="1">
        <v>0.53</v>
      </c>
      <c r="V55" s="8">
        <f t="shared" si="32"/>
        <v>4.8675344504555822</v>
      </c>
      <c r="W55" s="8">
        <f t="shared" si="33"/>
        <v>-0.6348782724359695</v>
      </c>
      <c r="X55" s="8">
        <f t="shared" si="34"/>
        <v>23.692891626371928</v>
      </c>
      <c r="Y55" s="8">
        <f t="shared" si="35"/>
        <v>0.40307042081128114</v>
      </c>
      <c r="Z55" s="8">
        <f t="shared" si="36"/>
        <v>-3.0902918629278062</v>
      </c>
      <c r="AA55" s="8">
        <f t="shared" si="37"/>
        <v>0.54260616768680114</v>
      </c>
      <c r="AC55" s="5">
        <v>10</v>
      </c>
      <c r="AD55" s="1">
        <v>130</v>
      </c>
      <c r="AE55" s="1">
        <v>0.53</v>
      </c>
      <c r="AF55" s="8">
        <f t="shared" si="38"/>
        <v>7.6923076923076927E-3</v>
      </c>
      <c r="AG55" s="8">
        <f t="shared" si="39"/>
        <v>0.53</v>
      </c>
      <c r="AH55" s="8">
        <f t="shared" si="40"/>
        <v>5.9171597633136101E-5</v>
      </c>
      <c r="AI55" s="8">
        <f t="shared" si="41"/>
        <v>0.28090000000000004</v>
      </c>
      <c r="AJ55" s="8">
        <f t="shared" si="42"/>
        <v>4.0769230769230769E-3</v>
      </c>
      <c r="AK55" s="8">
        <f t="shared" si="43"/>
        <v>0.58409813494611107</v>
      </c>
    </row>
    <row r="56" spans="9:37" x14ac:dyDescent="0.25">
      <c r="I56" s="5">
        <v>11</v>
      </c>
      <c r="J56" s="1">
        <v>139</v>
      </c>
      <c r="K56" s="1">
        <v>0.51</v>
      </c>
      <c r="L56" s="8">
        <f t="shared" si="26"/>
        <v>4.9344739331306915</v>
      </c>
      <c r="M56" s="8">
        <f t="shared" si="27"/>
        <v>0.51</v>
      </c>
      <c r="N56" s="8">
        <f t="shared" si="28"/>
        <v>24.349032996746278</v>
      </c>
      <c r="O56" s="8">
        <f t="shared" si="29"/>
        <v>0.2601</v>
      </c>
      <c r="P56" s="8">
        <f t="shared" si="30"/>
        <v>2.5165817058966526</v>
      </c>
      <c r="Q56" s="8">
        <f t="shared" si="31"/>
        <v>0.46053252718917292</v>
      </c>
      <c r="S56" s="5">
        <v>11</v>
      </c>
      <c r="T56" s="1">
        <v>139</v>
      </c>
      <c r="U56" s="1">
        <v>0.51</v>
      </c>
      <c r="V56" s="8">
        <f t="shared" si="32"/>
        <v>4.9344739331306915</v>
      </c>
      <c r="W56" s="8">
        <f t="shared" si="33"/>
        <v>-0.67334455326376563</v>
      </c>
      <c r="X56" s="8">
        <f t="shared" si="34"/>
        <v>24.349032996746278</v>
      </c>
      <c r="Y56" s="8">
        <f t="shared" si="35"/>
        <v>0.45339288740998013</v>
      </c>
      <c r="Z56" s="8">
        <f t="shared" si="36"/>
        <v>-3.322601146095582</v>
      </c>
      <c r="AA56" s="8">
        <f t="shared" si="37"/>
        <v>0.5237585539138977</v>
      </c>
      <c r="AC56" s="5">
        <v>11</v>
      </c>
      <c r="AD56" s="1">
        <v>139</v>
      </c>
      <c r="AE56" s="1">
        <v>0.51</v>
      </c>
      <c r="AF56" s="8">
        <f t="shared" si="38"/>
        <v>7.1942446043165471E-3</v>
      </c>
      <c r="AG56" s="8">
        <f t="shared" si="39"/>
        <v>0.51</v>
      </c>
      <c r="AH56" s="8">
        <f t="shared" si="40"/>
        <v>5.175715542673775E-5</v>
      </c>
      <c r="AI56" s="8">
        <f t="shared" si="41"/>
        <v>0.2601</v>
      </c>
      <c r="AJ56" s="8">
        <f t="shared" si="42"/>
        <v>3.6690647482014393E-3</v>
      </c>
      <c r="AK56" s="8">
        <f t="shared" si="43"/>
        <v>0.57432787213687275</v>
      </c>
    </row>
    <row r="57" spans="9:37" x14ac:dyDescent="0.25">
      <c r="I57" s="6">
        <v>12</v>
      </c>
      <c r="J57" s="2">
        <v>150</v>
      </c>
      <c r="K57" s="2">
        <v>0.5</v>
      </c>
      <c r="L57" s="9">
        <f t="shared" si="26"/>
        <v>5.0106352940962555</v>
      </c>
      <c r="M57" s="9">
        <f t="shared" si="27"/>
        <v>0.5</v>
      </c>
      <c r="N57" s="9">
        <f t="shared" si="28"/>
        <v>25.106466050443068</v>
      </c>
      <c r="O57" s="9">
        <f t="shared" si="29"/>
        <v>0.25</v>
      </c>
      <c r="P57" s="9">
        <f>L57*M57</f>
        <v>2.5053176470481278</v>
      </c>
      <c r="Q57" s="9">
        <f t="shared" si="31"/>
        <v>0.42024953342035376</v>
      </c>
      <c r="S57" s="6">
        <v>12</v>
      </c>
      <c r="T57" s="2">
        <v>150</v>
      </c>
      <c r="U57" s="2">
        <v>0.5</v>
      </c>
      <c r="V57" s="9">
        <f t="shared" si="32"/>
        <v>5.0106352940962555</v>
      </c>
      <c r="W57" s="9">
        <f t="shared" si="33"/>
        <v>-0.69314718055994529</v>
      </c>
      <c r="X57" s="9">
        <f t="shared" si="34"/>
        <v>25.106466050443068</v>
      </c>
      <c r="Y57" s="9">
        <f t="shared" si="35"/>
        <v>0.48045301391820139</v>
      </c>
      <c r="Z57" s="9">
        <f>V57*W57</f>
        <v>-3.4731077269169717</v>
      </c>
      <c r="AA57" s="9">
        <f t="shared" si="37"/>
        <v>0.50310930821842326</v>
      </c>
      <c r="AC57" s="6">
        <v>12</v>
      </c>
      <c r="AD57" s="2">
        <v>150</v>
      </c>
      <c r="AE57" s="2">
        <v>0.5</v>
      </c>
      <c r="AF57" s="9">
        <f t="shared" si="38"/>
        <v>6.6666666666666671E-3</v>
      </c>
      <c r="AG57" s="9">
        <f t="shared" si="39"/>
        <v>0.5</v>
      </c>
      <c r="AH57" s="9">
        <f t="shared" si="40"/>
        <v>4.4444444444444453E-5</v>
      </c>
      <c r="AI57" s="9">
        <f t="shared" si="41"/>
        <v>0.25</v>
      </c>
      <c r="AJ57" s="9">
        <f>AF57*AG57</f>
        <v>3.3333333333333335E-3</v>
      </c>
      <c r="AK57" s="9">
        <f t="shared" si="43"/>
        <v>0.5639786307907908</v>
      </c>
    </row>
    <row r="58" spans="9:37" x14ac:dyDescent="0.25">
      <c r="I58" s="5" t="s">
        <v>6</v>
      </c>
      <c r="J58" s="1">
        <f>SUM(J46:J57)</f>
        <v>1015</v>
      </c>
      <c r="K58" s="1">
        <f t="shared" ref="K58:P58" si="44">SUM(K46:K57)</f>
        <v>10.049999999999999</v>
      </c>
      <c r="L58" s="1">
        <f t="shared" si="44"/>
        <v>50.661088768428208</v>
      </c>
      <c r="M58" s="1">
        <f t="shared" si="44"/>
        <v>10.049999999999999</v>
      </c>
      <c r="N58" s="1">
        <f t="shared" si="44"/>
        <v>220.65077255302759</v>
      </c>
      <c r="O58" s="1">
        <f t="shared" si="44"/>
        <v>10.4495</v>
      </c>
      <c r="P58" s="1">
        <f t="shared" si="44"/>
        <v>38.846868312177335</v>
      </c>
      <c r="Q58" s="1"/>
      <c r="S58" s="5" t="s">
        <v>6</v>
      </c>
      <c r="T58" s="1">
        <f>SUM(T46:T57)</f>
        <v>1015</v>
      </c>
      <c r="U58" s="1">
        <f t="shared" ref="U58:Z58" si="45">SUM(U46:U57)</f>
        <v>10.049999999999999</v>
      </c>
      <c r="V58" s="1">
        <f t="shared" si="45"/>
        <v>50.661088768428208</v>
      </c>
      <c r="W58" s="1">
        <f t="shared" si="45"/>
        <v>-3.2437824407946918</v>
      </c>
      <c r="X58" s="1">
        <f t="shared" si="45"/>
        <v>220.65077255302759</v>
      </c>
      <c r="Y58" s="1">
        <f t="shared" si="45"/>
        <v>2.843074528290721</v>
      </c>
      <c r="Z58" s="1">
        <f t="shared" si="45"/>
        <v>-17.27095225037127</v>
      </c>
      <c r="AA58" s="1"/>
      <c r="AC58" s="5" t="s">
        <v>6</v>
      </c>
      <c r="AD58" s="1">
        <f>SUM(AD46:AD57)</f>
        <v>1015</v>
      </c>
      <c r="AE58" s="1">
        <f t="shared" ref="AE58:AJ58" si="46">SUM(AE46:AE57)</f>
        <v>10.049999999999999</v>
      </c>
      <c r="AF58" s="1">
        <f t="shared" si="46"/>
        <v>0.24732106446646437</v>
      </c>
      <c r="AG58" s="1">
        <f t="shared" si="46"/>
        <v>10.049999999999999</v>
      </c>
      <c r="AH58" s="1">
        <f t="shared" si="46"/>
        <v>1.017250204316277E-2</v>
      </c>
      <c r="AI58" s="1">
        <f t="shared" si="46"/>
        <v>10.4495</v>
      </c>
      <c r="AJ58" s="1">
        <f t="shared" si="46"/>
        <v>0.3066889983052466</v>
      </c>
      <c r="AK58" s="1"/>
    </row>
    <row r="60" spans="9:37" x14ac:dyDescent="0.25">
      <c r="I60" t="s">
        <v>25</v>
      </c>
      <c r="J60">
        <f xml:space="preserve"> ((I57 * P58)-(L58*M58))/((I57*N58)-(L58)^2)</f>
        <v>-0.52891641191959293</v>
      </c>
      <c r="L60" t="s">
        <v>26</v>
      </c>
      <c r="M60">
        <f>J60</f>
        <v>-0.52891641191959293</v>
      </c>
      <c r="S60" t="s">
        <v>25</v>
      </c>
      <c r="T60">
        <f xml:space="preserve"> ((S57 * Z58)-(V58*W58))/((S57*X58)-(V58)^2)</f>
        <v>-0.52813321080330833</v>
      </c>
      <c r="V60" t="s">
        <v>26</v>
      </c>
      <c r="W60">
        <f>T60</f>
        <v>-0.52813321080330833</v>
      </c>
      <c r="AC60" t="s">
        <v>25</v>
      </c>
      <c r="AD60">
        <f xml:space="preserve"> ((AC57 * AJ58)-(AF58*AG58))/((AC57*AH58)-(AF58)^2)</f>
        <v>19.616516551437321</v>
      </c>
      <c r="AF60" t="s">
        <v>26</v>
      </c>
      <c r="AG60">
        <f>AD60</f>
        <v>19.616516551437321</v>
      </c>
    </row>
    <row r="61" spans="9:37" x14ac:dyDescent="0.25">
      <c r="I61" t="s">
        <v>24</v>
      </c>
      <c r="J61">
        <f>(M58/I57)-(J60*(L58/I57))</f>
        <v>3.0704567746114195</v>
      </c>
      <c r="L61" t="s">
        <v>27</v>
      </c>
      <c r="M61">
        <f>J61</f>
        <v>3.0704567746114195</v>
      </c>
      <c r="S61" t="s">
        <v>24</v>
      </c>
      <c r="T61">
        <f>(W58/S57)-(T60*(V58/S57))</f>
        <v>1.9593350861055598</v>
      </c>
      <c r="V61" t="s">
        <v>27</v>
      </c>
      <c r="W61">
        <f>EXP(T61)</f>
        <v>7.0946081929455396</v>
      </c>
      <c r="AC61" t="s">
        <v>24</v>
      </c>
      <c r="AD61">
        <f>(AG58/AC57)-(AD60*(AF58/AC57))</f>
        <v>0.43320185378120862</v>
      </c>
      <c r="AF61" t="s">
        <v>27</v>
      </c>
      <c r="AG61">
        <f>AD61</f>
        <v>0.43320185378120862</v>
      </c>
    </row>
    <row r="63" spans="9:37" x14ac:dyDescent="0.25">
      <c r="J63" t="s">
        <v>28</v>
      </c>
      <c r="K63" t="s">
        <v>29</v>
      </c>
      <c r="M63" t="s">
        <v>30</v>
      </c>
      <c r="N63">
        <v>100</v>
      </c>
      <c r="O63">
        <f>M$61+(M$60*LN(N63))</f>
        <v>0.63470668355951343</v>
      </c>
      <c r="T63" t="s">
        <v>28</v>
      </c>
      <c r="U63" t="s">
        <v>29</v>
      </c>
      <c r="W63" t="s">
        <v>30</v>
      </c>
      <c r="X63">
        <v>100</v>
      </c>
      <c r="Y63">
        <f>W$61*(X63^W$60)</f>
        <v>0.623249579968576</v>
      </c>
      <c r="AD63" t="s">
        <v>28</v>
      </c>
      <c r="AE63" t="s">
        <v>29</v>
      </c>
      <c r="AG63" t="s">
        <v>30</v>
      </c>
      <c r="AH63">
        <v>100</v>
      </c>
      <c r="AI63">
        <f>AG$61+(AG$60/AH63)</f>
        <v>0.62936701929558181</v>
      </c>
    </row>
    <row r="64" spans="9:37" x14ac:dyDescent="0.25">
      <c r="I64" t="s">
        <v>11</v>
      </c>
      <c r="J64">
        <f>((I57*P58)-(L58*M58))/(SQRT((I57*N58)-(L58)^2)*SQRT((I57*O58)-(M58)^2))</f>
        <v>-0.96541749350807504</v>
      </c>
      <c r="K64">
        <f>CORREL(K46:K57,Q46:Q57)</f>
        <v>0.96541749350807893</v>
      </c>
      <c r="S64" t="s">
        <v>11</v>
      </c>
      <c r="T64">
        <f>((S57*Z58)-(V58*W58))/(SQRT((S57*X58)-(V58)^2)*SQRT((S57*Y58)-(W58)^2))</f>
        <v>-0.98012841760391312</v>
      </c>
      <c r="U64">
        <f>CORREL(U46:U57,AA46:AA57)</f>
        <v>0.98596192652792958</v>
      </c>
      <c r="AC64" t="s">
        <v>11</v>
      </c>
      <c r="AD64">
        <f>((AC57*AJ58)-(AF58*AG58))/(SQRT((AC57*AH58)-(AF58)^2)*SQRT((AC57*AI58)-(AG58)^2))</f>
        <v>0.98021092195604687</v>
      </c>
      <c r="AE64">
        <f>CORREL(AE46:AE57,AK46:AK57)</f>
        <v>0.98021092195604731</v>
      </c>
    </row>
    <row r="65" spans="9:31" x14ac:dyDescent="0.25">
      <c r="I65" t="s">
        <v>12</v>
      </c>
      <c r="J65">
        <f>J64*J64</f>
        <v>0.93203093677141413</v>
      </c>
      <c r="K65">
        <f>K64^2</f>
        <v>0.93203093677142157</v>
      </c>
      <c r="S65" t="s">
        <v>12</v>
      </c>
      <c r="T65">
        <f>T64*T64</f>
        <v>0.96065171499475066</v>
      </c>
      <c r="U65">
        <f>U64^2</f>
        <v>0.97212092056266641</v>
      </c>
      <c r="AC65" t="s">
        <v>12</v>
      </c>
      <c r="AD65">
        <f>AD64*AD64</f>
        <v>0.96081345152192343</v>
      </c>
      <c r="AE65">
        <f>AE64^2</f>
        <v>0.96081345152192432</v>
      </c>
    </row>
    <row r="83" spans="9:37" x14ac:dyDescent="0.25">
      <c r="I83" t="s">
        <v>48</v>
      </c>
      <c r="S83" t="s">
        <v>47</v>
      </c>
      <c r="AC83" t="s">
        <v>44</v>
      </c>
    </row>
    <row r="84" spans="9:37" x14ac:dyDescent="0.25">
      <c r="I84" t="s">
        <v>45</v>
      </c>
      <c r="S84" t="s">
        <v>45</v>
      </c>
      <c r="AC84" t="s">
        <v>45</v>
      </c>
    </row>
    <row r="85" spans="9:37" x14ac:dyDescent="0.25">
      <c r="I85" s="11" t="s">
        <v>0</v>
      </c>
      <c r="J85" s="11" t="s">
        <v>1</v>
      </c>
      <c r="K85" s="11" t="s">
        <v>2</v>
      </c>
      <c r="L85" s="11" t="s">
        <v>43</v>
      </c>
      <c r="M85" s="11" t="s">
        <v>46</v>
      </c>
      <c r="N85" s="11" t="s">
        <v>19</v>
      </c>
      <c r="O85" s="11" t="s">
        <v>20</v>
      </c>
      <c r="P85" s="11" t="s">
        <v>21</v>
      </c>
      <c r="Q85" s="11" t="s">
        <v>30</v>
      </c>
      <c r="S85" s="11" t="s">
        <v>0</v>
      </c>
      <c r="T85" s="11" t="s">
        <v>1</v>
      </c>
      <c r="U85" s="11" t="s">
        <v>2</v>
      </c>
      <c r="V85" s="11" t="s">
        <v>43</v>
      </c>
      <c r="W85" s="11" t="s">
        <v>46</v>
      </c>
      <c r="X85" s="11" t="s">
        <v>19</v>
      </c>
      <c r="Y85" s="11" t="s">
        <v>20</v>
      </c>
      <c r="Z85" s="11" t="s">
        <v>21</v>
      </c>
      <c r="AA85" s="11" t="s">
        <v>30</v>
      </c>
      <c r="AC85" s="11" t="s">
        <v>0</v>
      </c>
      <c r="AD85" s="11" t="s">
        <v>1</v>
      </c>
      <c r="AE85" s="11" t="s">
        <v>2</v>
      </c>
      <c r="AF85" s="11" t="s">
        <v>43</v>
      </c>
      <c r="AG85" s="11" t="s">
        <v>46</v>
      </c>
      <c r="AH85" s="11" t="s">
        <v>19</v>
      </c>
      <c r="AI85" s="11" t="s">
        <v>20</v>
      </c>
      <c r="AJ85" s="11" t="s">
        <v>21</v>
      </c>
      <c r="AK85" s="11" t="s">
        <v>30</v>
      </c>
    </row>
    <row r="86" spans="9:37" x14ac:dyDescent="0.25">
      <c r="I86" s="12"/>
      <c r="J86" s="12"/>
      <c r="K86" s="12"/>
      <c r="L86" s="12"/>
      <c r="M86" s="12"/>
      <c r="N86" s="12"/>
      <c r="O86" s="12"/>
      <c r="P86" s="12"/>
      <c r="Q86" s="12"/>
      <c r="S86" s="12"/>
      <c r="T86" s="12"/>
      <c r="U86" s="12"/>
      <c r="V86" s="12"/>
      <c r="W86" s="12"/>
      <c r="X86" s="12"/>
      <c r="Y86" s="12"/>
      <c r="Z86" s="12"/>
      <c r="AA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9:37" x14ac:dyDescent="0.25">
      <c r="I87" s="5">
        <v>1</v>
      </c>
      <c r="J87" s="1">
        <v>13</v>
      </c>
      <c r="K87" s="1">
        <v>1.84</v>
      </c>
      <c r="L87" s="8">
        <f>1/J87</f>
        <v>7.6923076923076927E-2</v>
      </c>
      <c r="M87" s="8">
        <f>1/K87</f>
        <v>0.54347826086956519</v>
      </c>
      <c r="N87" s="8">
        <f>L87^2</f>
        <v>5.9171597633136102E-3</v>
      </c>
      <c r="O87" s="8">
        <f>M87^2</f>
        <v>0.29536862003780717</v>
      </c>
      <c r="P87" s="8">
        <f>L87*M87</f>
        <v>4.1806020066889632E-2</v>
      </c>
      <c r="Q87" s="8">
        <f>J87/((M$102*J87)+M$101)</f>
        <v>-0.85836909871244638</v>
      </c>
      <c r="S87" s="5">
        <v>1</v>
      </c>
      <c r="T87" s="1">
        <v>13</v>
      </c>
      <c r="U87" s="1">
        <v>1.84</v>
      </c>
      <c r="V87" s="8">
        <f>1/T87</f>
        <v>7.6923076923076927E-2</v>
      </c>
      <c r="W87" s="8">
        <f>1/U87</f>
        <v>0.54347826086956519</v>
      </c>
      <c r="X87" s="8">
        <f>V87^2</f>
        <v>5.9171597633136102E-3</v>
      </c>
      <c r="Y87" s="8">
        <f>W87^2</f>
        <v>0.29536862003780717</v>
      </c>
      <c r="Z87" s="8">
        <f>V87*W87</f>
        <v>4.1806020066889632E-2</v>
      </c>
      <c r="AA87" s="8">
        <f>T87/((W$102*T87)+W$101)</f>
        <v>-2.3255285030959059E-2</v>
      </c>
      <c r="AC87" s="5">
        <v>1</v>
      </c>
      <c r="AD87" s="1">
        <v>13</v>
      </c>
      <c r="AE87" s="1">
        <v>1.84</v>
      </c>
      <c r="AF87" s="8">
        <f>1/AD87</f>
        <v>7.6923076923076927E-2</v>
      </c>
      <c r="AG87" s="8">
        <f>1/AE87</f>
        <v>0.54347826086956519</v>
      </c>
      <c r="AH87" s="8">
        <f>AF87^2</f>
        <v>5.9171597633136102E-3</v>
      </c>
      <c r="AI87" s="8">
        <f>AG87^2</f>
        <v>0.29536862003780717</v>
      </c>
      <c r="AJ87" s="8">
        <f>AF87*AG87</f>
        <v>4.1806020066889632E-2</v>
      </c>
      <c r="AK87" s="8">
        <f>AD87/((AG$102*AD87)+AG$101)</f>
        <v>3.3373060284150977</v>
      </c>
    </row>
    <row r="88" spans="9:37" x14ac:dyDescent="0.25">
      <c r="I88" s="5">
        <v>2</v>
      </c>
      <c r="J88" s="1">
        <v>20</v>
      </c>
      <c r="K88" s="1">
        <v>1.57</v>
      </c>
      <c r="L88" s="8">
        <f t="shared" ref="L88:L98" si="47">1/J88</f>
        <v>0.05</v>
      </c>
      <c r="M88" s="8">
        <f t="shared" ref="M88:M98" si="48">1/K88</f>
        <v>0.63694267515923564</v>
      </c>
      <c r="N88" s="8">
        <f t="shared" ref="N88:N98" si="49">L88^2</f>
        <v>2.5000000000000005E-3</v>
      </c>
      <c r="O88" s="8">
        <f t="shared" ref="O88:O98" si="50">M88^2</f>
        <v>0.40569597143900354</v>
      </c>
      <c r="P88" s="8">
        <f t="shared" ref="P88:P97" si="51">L88*M88</f>
        <v>3.1847133757961783E-2</v>
      </c>
      <c r="Q88" s="8">
        <f t="shared" ref="Q88:Q98" si="52">J88/((M$102*J88)+M$101)</f>
        <v>-227.27272727272478</v>
      </c>
      <c r="S88" s="5">
        <v>2</v>
      </c>
      <c r="T88" s="1">
        <v>20</v>
      </c>
      <c r="U88" s="1">
        <v>1.57</v>
      </c>
      <c r="V88" s="8">
        <f t="shared" ref="V88:V98" si="53">1/T88</f>
        <v>0.05</v>
      </c>
      <c r="W88" s="8">
        <f t="shared" ref="W88:W98" si="54">1/U88</f>
        <v>0.63694267515923564</v>
      </c>
      <c r="X88" s="8">
        <f t="shared" ref="X88:X98" si="55">V88^2</f>
        <v>2.5000000000000005E-3</v>
      </c>
      <c r="Y88" s="8">
        <f t="shared" ref="Y88:Y98" si="56">W88^2</f>
        <v>0.40569597143900354</v>
      </c>
      <c r="Z88" s="8">
        <f t="shared" ref="Z88:Z97" si="57">V88*W88</f>
        <v>3.1847133757961783E-2</v>
      </c>
      <c r="AA88" s="8">
        <f t="shared" ref="AA88:AA98" si="58">T88/((W$102*T88)+W$101)</f>
        <v>-2.3224001041745081E-2</v>
      </c>
      <c r="AC88" s="5">
        <v>2</v>
      </c>
      <c r="AD88" s="1">
        <v>20</v>
      </c>
      <c r="AE88" s="1">
        <v>1.57</v>
      </c>
      <c r="AF88" s="8">
        <f t="shared" ref="AF88:AF98" si="59">1/AD88</f>
        <v>0.05</v>
      </c>
      <c r="AG88" s="8">
        <f t="shared" ref="AG88:AG98" si="60">1/AE88</f>
        <v>0.63694267515923564</v>
      </c>
      <c r="AH88" s="8">
        <f t="shared" ref="AH88:AH98" si="61">AF88^2</f>
        <v>2.5000000000000005E-3</v>
      </c>
      <c r="AI88" s="8">
        <f t="shared" ref="AI88:AI98" si="62">AG88^2</f>
        <v>0.40569597143900354</v>
      </c>
      <c r="AJ88" s="8">
        <f t="shared" ref="AJ88:AJ97" si="63">AF88*AG88</f>
        <v>3.1847133757961783E-2</v>
      </c>
      <c r="AK88" s="8">
        <f t="shared" ref="AK88:AK98" si="64">AD88/((AG$102*AD88)+AG$101)</f>
        <v>1.2066557425029945</v>
      </c>
    </row>
    <row r="89" spans="9:37" x14ac:dyDescent="0.25">
      <c r="I89" s="5">
        <v>3</v>
      </c>
      <c r="J89" s="1">
        <v>40</v>
      </c>
      <c r="K89" s="1">
        <v>0.92</v>
      </c>
      <c r="L89" s="8">
        <f t="shared" si="47"/>
        <v>2.5000000000000001E-2</v>
      </c>
      <c r="M89" s="8">
        <f t="shared" si="48"/>
        <v>1.0869565217391304</v>
      </c>
      <c r="N89" s="8">
        <f t="shared" si="49"/>
        <v>6.2500000000000012E-4</v>
      </c>
      <c r="O89" s="8">
        <f t="shared" si="50"/>
        <v>1.1814744801512287</v>
      </c>
      <c r="P89" s="8">
        <f t="shared" si="51"/>
        <v>2.717391304347826E-2</v>
      </c>
      <c r="Q89" s="8">
        <f t="shared" si="52"/>
        <v>0.93170595360104358</v>
      </c>
      <c r="S89" s="5">
        <v>3</v>
      </c>
      <c r="T89" s="1">
        <v>40</v>
      </c>
      <c r="U89" s="1">
        <v>0.92</v>
      </c>
      <c r="V89" s="8">
        <f t="shared" si="53"/>
        <v>2.5000000000000001E-2</v>
      </c>
      <c r="W89" s="8">
        <f t="shared" si="54"/>
        <v>1.0869565217391304</v>
      </c>
      <c r="X89" s="8">
        <f t="shared" si="55"/>
        <v>6.2500000000000012E-4</v>
      </c>
      <c r="Y89" s="8">
        <f t="shared" si="56"/>
        <v>1.1814744801512287</v>
      </c>
      <c r="Z89" s="8">
        <f t="shared" si="57"/>
        <v>2.717391304347826E-2</v>
      </c>
      <c r="AA89" s="8">
        <f t="shared" si="58"/>
        <v>-2.3195026894845341E-2</v>
      </c>
      <c r="AC89" s="5">
        <v>3</v>
      </c>
      <c r="AD89" s="1">
        <v>40</v>
      </c>
      <c r="AE89" s="1">
        <v>0.92</v>
      </c>
      <c r="AF89" s="8">
        <f t="shared" si="59"/>
        <v>2.5000000000000001E-2</v>
      </c>
      <c r="AG89" s="8">
        <f t="shared" si="60"/>
        <v>1.0869565217391304</v>
      </c>
      <c r="AH89" s="8">
        <f t="shared" si="61"/>
        <v>6.2500000000000012E-4</v>
      </c>
      <c r="AI89" s="8">
        <f t="shared" si="62"/>
        <v>1.1814744801512287</v>
      </c>
      <c r="AJ89" s="8">
        <f t="shared" si="63"/>
        <v>2.717391304347826E-2</v>
      </c>
      <c r="AK89" s="8">
        <f t="shared" si="64"/>
        <v>0.75755379749942064</v>
      </c>
    </row>
    <row r="90" spans="9:37" x14ac:dyDescent="0.25">
      <c r="I90" s="5">
        <v>4</v>
      </c>
      <c r="J90" s="1">
        <v>55</v>
      </c>
      <c r="K90" s="1">
        <v>0.7</v>
      </c>
      <c r="L90" s="8">
        <f t="shared" si="47"/>
        <v>1.8181818181818181E-2</v>
      </c>
      <c r="M90" s="8">
        <f t="shared" si="48"/>
        <v>1.4285714285714286</v>
      </c>
      <c r="N90" s="8">
        <f t="shared" si="49"/>
        <v>3.3057851239669419E-4</v>
      </c>
      <c r="O90" s="8">
        <f t="shared" si="50"/>
        <v>2.0408163265306123</v>
      </c>
      <c r="P90" s="8">
        <f t="shared" si="51"/>
        <v>2.5974025974025972E-2</v>
      </c>
      <c r="Q90" s="8">
        <f t="shared" si="52"/>
        <v>0.73141215739989629</v>
      </c>
      <c r="S90" s="5">
        <v>4</v>
      </c>
      <c r="T90" s="1">
        <v>55</v>
      </c>
      <c r="U90" s="1">
        <v>0.7</v>
      </c>
      <c r="V90" s="8">
        <f t="shared" si="53"/>
        <v>1.8181818181818181E-2</v>
      </c>
      <c r="W90" s="8">
        <f t="shared" si="54"/>
        <v>1.4285714285714286</v>
      </c>
      <c r="X90" s="8">
        <f t="shared" si="55"/>
        <v>3.3057851239669419E-4</v>
      </c>
      <c r="Y90" s="8">
        <f t="shared" si="56"/>
        <v>2.0408163265306123</v>
      </c>
      <c r="Z90" s="8">
        <f t="shared" si="57"/>
        <v>2.5974025974025972E-2</v>
      </c>
      <c r="AA90" s="8">
        <f t="shared" si="58"/>
        <v>-2.3187137397753643E-2</v>
      </c>
      <c r="AC90" s="5">
        <v>4</v>
      </c>
      <c r="AD90" s="1">
        <v>55</v>
      </c>
      <c r="AE90" s="1">
        <v>0.7</v>
      </c>
      <c r="AF90" s="8">
        <f t="shared" si="59"/>
        <v>1.8181818181818181E-2</v>
      </c>
      <c r="AG90" s="8">
        <f t="shared" si="60"/>
        <v>1.4285714285714286</v>
      </c>
      <c r="AH90" s="8">
        <f t="shared" si="61"/>
        <v>3.3057851239669419E-4</v>
      </c>
      <c r="AI90" s="8">
        <f t="shared" si="62"/>
        <v>2.0408163265306123</v>
      </c>
      <c r="AJ90" s="8">
        <f t="shared" si="63"/>
        <v>2.5974025974025972E-2</v>
      </c>
      <c r="AK90" s="8">
        <f t="shared" si="64"/>
        <v>0.68774391923669098</v>
      </c>
    </row>
    <row r="91" spans="9:37" x14ac:dyDescent="0.25">
      <c r="I91" s="5">
        <v>5</v>
      </c>
      <c r="J91" s="1">
        <v>70</v>
      </c>
      <c r="K91" s="1">
        <v>0.84</v>
      </c>
      <c r="L91" s="8">
        <f t="shared" si="47"/>
        <v>1.4285714285714285E-2</v>
      </c>
      <c r="M91" s="8">
        <f t="shared" si="48"/>
        <v>1.1904761904761905</v>
      </c>
      <c r="N91" s="8">
        <f t="shared" si="49"/>
        <v>2.040816326530612E-4</v>
      </c>
      <c r="O91" s="8">
        <f t="shared" si="50"/>
        <v>1.4172335600907029</v>
      </c>
      <c r="P91" s="8">
        <f t="shared" si="51"/>
        <v>1.7006802721088433E-2</v>
      </c>
      <c r="Q91" s="8">
        <f t="shared" si="52"/>
        <v>0.65139305056671204</v>
      </c>
      <c r="S91" s="5">
        <v>5</v>
      </c>
      <c r="T91" s="1">
        <v>70</v>
      </c>
      <c r="U91" s="1">
        <v>0.84</v>
      </c>
      <c r="V91" s="8">
        <f t="shared" si="53"/>
        <v>1.4285714285714285E-2</v>
      </c>
      <c r="W91" s="8">
        <f t="shared" si="54"/>
        <v>1.1904761904761905</v>
      </c>
      <c r="X91" s="8">
        <f t="shared" si="55"/>
        <v>2.040816326530612E-4</v>
      </c>
      <c r="Y91" s="8">
        <f t="shared" si="56"/>
        <v>1.4172335600907029</v>
      </c>
      <c r="Z91" s="8">
        <f t="shared" si="57"/>
        <v>1.7006802721088433E-2</v>
      </c>
      <c r="AA91" s="8">
        <f t="shared" si="58"/>
        <v>-2.3182631522918436E-2</v>
      </c>
      <c r="AC91" s="5">
        <v>5</v>
      </c>
      <c r="AD91" s="1">
        <v>70</v>
      </c>
      <c r="AE91" s="1">
        <v>0.84</v>
      </c>
      <c r="AF91" s="8">
        <f t="shared" si="59"/>
        <v>1.4285714285714285E-2</v>
      </c>
      <c r="AG91" s="8">
        <f t="shared" si="60"/>
        <v>1.1904761904761905</v>
      </c>
      <c r="AH91" s="8">
        <f t="shared" si="61"/>
        <v>2.040816326530612E-4</v>
      </c>
      <c r="AI91" s="8">
        <f t="shared" si="62"/>
        <v>1.4172335600907029</v>
      </c>
      <c r="AJ91" s="8">
        <f t="shared" si="63"/>
        <v>1.7006802721088433E-2</v>
      </c>
      <c r="AK91" s="8">
        <f t="shared" si="64"/>
        <v>0.65334024976364147</v>
      </c>
    </row>
    <row r="92" spans="9:37" x14ac:dyDescent="0.25">
      <c r="I92" s="5">
        <v>6</v>
      </c>
      <c r="J92" s="1">
        <v>79</v>
      </c>
      <c r="K92" s="1">
        <v>0.77</v>
      </c>
      <c r="L92" s="8">
        <f t="shared" si="47"/>
        <v>1.2658227848101266E-2</v>
      </c>
      <c r="M92" s="8">
        <f t="shared" si="48"/>
        <v>1.2987012987012987</v>
      </c>
      <c r="N92" s="8">
        <f t="shared" si="49"/>
        <v>1.602307322544464E-4</v>
      </c>
      <c r="O92" s="8">
        <f t="shared" si="50"/>
        <v>1.6866250632484399</v>
      </c>
      <c r="P92" s="8">
        <f t="shared" si="51"/>
        <v>1.643925694558606E-2</v>
      </c>
      <c r="Q92" s="8">
        <f t="shared" si="52"/>
        <v>0.62292522531757377</v>
      </c>
      <c r="S92" s="5">
        <v>6</v>
      </c>
      <c r="T92" s="1">
        <v>79</v>
      </c>
      <c r="U92" s="1">
        <v>0.77</v>
      </c>
      <c r="V92" s="8">
        <f t="shared" si="53"/>
        <v>1.2658227848101266E-2</v>
      </c>
      <c r="W92" s="8">
        <f t="shared" si="54"/>
        <v>1.2987012987012987</v>
      </c>
      <c r="X92" s="8">
        <f t="shared" si="55"/>
        <v>1.602307322544464E-4</v>
      </c>
      <c r="Y92" s="8">
        <f t="shared" si="56"/>
        <v>1.6866250632484399</v>
      </c>
      <c r="Z92" s="8">
        <f t="shared" si="57"/>
        <v>1.643925694558606E-2</v>
      </c>
      <c r="AA92" s="8">
        <f t="shared" si="58"/>
        <v>-2.3180749840543729E-2</v>
      </c>
      <c r="AC92" s="5">
        <v>6</v>
      </c>
      <c r="AD92" s="1">
        <v>79</v>
      </c>
      <c r="AE92" s="1">
        <v>0.77</v>
      </c>
      <c r="AF92" s="8">
        <f t="shared" si="59"/>
        <v>1.2658227848101266E-2</v>
      </c>
      <c r="AG92" s="8">
        <f t="shared" si="60"/>
        <v>1.2987012987012987</v>
      </c>
      <c r="AH92" s="8">
        <f t="shared" si="61"/>
        <v>1.602307322544464E-4</v>
      </c>
      <c r="AI92" s="8">
        <f t="shared" si="62"/>
        <v>1.6866250632484399</v>
      </c>
      <c r="AJ92" s="8">
        <f t="shared" si="63"/>
        <v>1.643925694558606E-2</v>
      </c>
      <c r="AK92" s="8">
        <f t="shared" si="64"/>
        <v>0.63996743794527156</v>
      </c>
    </row>
    <row r="93" spans="9:37" x14ac:dyDescent="0.25">
      <c r="I93" s="5">
        <v>7</v>
      </c>
      <c r="J93" s="1">
        <v>88</v>
      </c>
      <c r="K93" s="1">
        <v>0.69</v>
      </c>
      <c r="L93" s="8">
        <f t="shared" si="47"/>
        <v>1.1363636363636364E-2</v>
      </c>
      <c r="M93" s="8">
        <f t="shared" si="48"/>
        <v>1.4492753623188408</v>
      </c>
      <c r="N93" s="8">
        <f t="shared" si="49"/>
        <v>1.2913223140495868E-4</v>
      </c>
      <c r="O93" s="8">
        <f t="shared" si="50"/>
        <v>2.1003990758244071</v>
      </c>
      <c r="P93" s="8">
        <f t="shared" si="51"/>
        <v>1.6469038208168647E-2</v>
      </c>
      <c r="Q93" s="8">
        <f t="shared" si="52"/>
        <v>0.60199753728280214</v>
      </c>
      <c r="S93" s="5">
        <v>7</v>
      </c>
      <c r="T93" s="1">
        <v>88</v>
      </c>
      <c r="U93" s="1">
        <v>0.69</v>
      </c>
      <c r="V93" s="8">
        <f t="shared" si="53"/>
        <v>1.1363636363636364E-2</v>
      </c>
      <c r="W93" s="8">
        <f t="shared" si="54"/>
        <v>1.4492753623188408</v>
      </c>
      <c r="X93" s="8">
        <f t="shared" si="55"/>
        <v>1.2913223140495868E-4</v>
      </c>
      <c r="Y93" s="8">
        <f t="shared" si="56"/>
        <v>2.1003990758244071</v>
      </c>
      <c r="Z93" s="8">
        <f t="shared" si="57"/>
        <v>1.6469038208168647E-2</v>
      </c>
      <c r="AA93" s="8">
        <f t="shared" si="58"/>
        <v>-2.3179253265863738E-2</v>
      </c>
      <c r="AC93" s="5">
        <v>7</v>
      </c>
      <c r="AD93" s="1">
        <v>88</v>
      </c>
      <c r="AE93" s="1">
        <v>0.69</v>
      </c>
      <c r="AF93" s="8">
        <f t="shared" si="59"/>
        <v>1.1363636363636364E-2</v>
      </c>
      <c r="AG93" s="8">
        <f t="shared" si="60"/>
        <v>1.4492753623188408</v>
      </c>
      <c r="AH93" s="8">
        <f t="shared" si="61"/>
        <v>1.2913223140495868E-4</v>
      </c>
      <c r="AI93" s="8">
        <f t="shared" si="62"/>
        <v>2.1003990758244071</v>
      </c>
      <c r="AJ93" s="8">
        <f t="shared" si="63"/>
        <v>1.6469038208168647E-2</v>
      </c>
      <c r="AK93" s="8">
        <f t="shared" si="64"/>
        <v>0.62971463817885509</v>
      </c>
    </row>
    <row r="94" spans="9:37" x14ac:dyDescent="0.25">
      <c r="I94" s="5">
        <v>8</v>
      </c>
      <c r="J94" s="1">
        <v>110</v>
      </c>
      <c r="K94" s="1">
        <v>0.61</v>
      </c>
      <c r="L94" s="8">
        <f t="shared" si="47"/>
        <v>9.0909090909090905E-3</v>
      </c>
      <c r="M94" s="8">
        <f t="shared" si="48"/>
        <v>1.639344262295082</v>
      </c>
      <c r="N94" s="8">
        <f t="shared" si="49"/>
        <v>8.2644628099173546E-5</v>
      </c>
      <c r="O94" s="8">
        <f t="shared" si="50"/>
        <v>2.6874496103198067</v>
      </c>
      <c r="P94" s="8">
        <f t="shared" si="51"/>
        <v>1.4903129657228018E-2</v>
      </c>
      <c r="Q94" s="8">
        <f t="shared" si="52"/>
        <v>0.5684695765418446</v>
      </c>
      <c r="S94" s="5">
        <v>8</v>
      </c>
      <c r="T94" s="1">
        <v>110</v>
      </c>
      <c r="U94" s="1">
        <v>0.61</v>
      </c>
      <c r="V94" s="8">
        <f t="shared" si="53"/>
        <v>9.0909090909090905E-3</v>
      </c>
      <c r="W94" s="8">
        <f t="shared" si="54"/>
        <v>1.639344262295082</v>
      </c>
      <c r="X94" s="8">
        <f t="shared" si="55"/>
        <v>8.2644628099173546E-5</v>
      </c>
      <c r="Y94" s="8">
        <f t="shared" si="56"/>
        <v>2.6874496103198067</v>
      </c>
      <c r="Z94" s="8">
        <f t="shared" si="57"/>
        <v>1.4903129657228018E-2</v>
      </c>
      <c r="AA94" s="8">
        <f t="shared" si="58"/>
        <v>-2.3176626413221688E-2</v>
      </c>
      <c r="AC94" s="5">
        <v>8</v>
      </c>
      <c r="AD94" s="1">
        <v>110</v>
      </c>
      <c r="AE94" s="1">
        <v>0.61</v>
      </c>
      <c r="AF94" s="8">
        <f t="shared" si="59"/>
        <v>9.0909090909090905E-3</v>
      </c>
      <c r="AG94" s="8">
        <f t="shared" si="60"/>
        <v>1.639344262295082</v>
      </c>
      <c r="AH94" s="8">
        <f t="shared" si="61"/>
        <v>8.2644628099173546E-5</v>
      </c>
      <c r="AI94" s="8">
        <f t="shared" si="62"/>
        <v>2.6874496103198067</v>
      </c>
      <c r="AJ94" s="8">
        <f t="shared" si="63"/>
        <v>1.4903129657228018E-2</v>
      </c>
      <c r="AK94" s="8">
        <f t="shared" si="64"/>
        <v>0.61248814551374742</v>
      </c>
    </row>
    <row r="95" spans="9:37" x14ac:dyDescent="0.25">
      <c r="I95" s="5">
        <v>9</v>
      </c>
      <c r="J95" s="1">
        <v>121</v>
      </c>
      <c r="K95" s="1">
        <v>0.56999999999999995</v>
      </c>
      <c r="L95" s="8">
        <f t="shared" si="47"/>
        <v>8.2644628099173556E-3</v>
      </c>
      <c r="M95" s="8">
        <f t="shared" si="48"/>
        <v>1.7543859649122808</v>
      </c>
      <c r="N95" s="8">
        <f t="shared" si="49"/>
        <v>6.8301345536507077E-5</v>
      </c>
      <c r="O95" s="8">
        <f t="shared" si="50"/>
        <v>3.0778701138811946</v>
      </c>
      <c r="P95" s="8">
        <f t="shared" si="51"/>
        <v>1.449905756125852E-2</v>
      </c>
      <c r="Q95" s="8">
        <f t="shared" si="52"/>
        <v>0.55718515585067452</v>
      </c>
      <c r="S95" s="5">
        <v>9</v>
      </c>
      <c r="T95" s="1">
        <v>121</v>
      </c>
      <c r="U95" s="1">
        <v>0.56999999999999995</v>
      </c>
      <c r="V95" s="8">
        <f t="shared" si="53"/>
        <v>8.2644628099173556E-3</v>
      </c>
      <c r="W95" s="8">
        <f t="shared" si="54"/>
        <v>1.7543859649122808</v>
      </c>
      <c r="X95" s="8">
        <f t="shared" si="55"/>
        <v>6.8301345536507077E-5</v>
      </c>
      <c r="Y95" s="8">
        <f t="shared" si="56"/>
        <v>3.0778701138811946</v>
      </c>
      <c r="Z95" s="8">
        <f t="shared" si="57"/>
        <v>1.449905756125852E-2</v>
      </c>
      <c r="AA95" s="8">
        <f t="shared" si="58"/>
        <v>-2.3175671341690542E-2</v>
      </c>
      <c r="AC95" s="5">
        <v>9</v>
      </c>
      <c r="AD95" s="1">
        <v>121</v>
      </c>
      <c r="AE95" s="1">
        <v>0.56999999999999995</v>
      </c>
      <c r="AF95" s="8">
        <f t="shared" si="59"/>
        <v>8.2644628099173556E-3</v>
      </c>
      <c r="AG95" s="8">
        <f t="shared" si="60"/>
        <v>1.7543859649122808</v>
      </c>
      <c r="AH95" s="8">
        <f t="shared" si="61"/>
        <v>6.8301345536507077E-5</v>
      </c>
      <c r="AI95" s="8">
        <f t="shared" si="62"/>
        <v>3.0778701138811946</v>
      </c>
      <c r="AJ95" s="8">
        <f t="shared" si="63"/>
        <v>1.449905756125852E-2</v>
      </c>
      <c r="AK95" s="8">
        <f t="shared" si="64"/>
        <v>0.6064553416423244</v>
      </c>
    </row>
    <row r="96" spans="9:37" x14ac:dyDescent="0.25">
      <c r="I96" s="5">
        <v>10</v>
      </c>
      <c r="J96" s="1">
        <v>130</v>
      </c>
      <c r="K96" s="1">
        <v>0.53</v>
      </c>
      <c r="L96" s="8">
        <f t="shared" si="47"/>
        <v>7.6923076923076927E-3</v>
      </c>
      <c r="M96" s="8">
        <f t="shared" si="48"/>
        <v>1.8867924528301885</v>
      </c>
      <c r="N96" s="8">
        <f t="shared" si="49"/>
        <v>5.9171597633136101E-5</v>
      </c>
      <c r="O96" s="8">
        <f t="shared" si="50"/>
        <v>3.5599857600569589</v>
      </c>
      <c r="P96" s="8">
        <f t="shared" si="51"/>
        <v>1.4513788098693758E-2</v>
      </c>
      <c r="Q96" s="8">
        <f t="shared" si="52"/>
        <v>0.54963174672969117</v>
      </c>
      <c r="S96" s="5">
        <v>10</v>
      </c>
      <c r="T96" s="1">
        <v>130</v>
      </c>
      <c r="U96" s="1">
        <v>0.53</v>
      </c>
      <c r="V96" s="8">
        <f t="shared" si="53"/>
        <v>7.6923076923076927E-3</v>
      </c>
      <c r="W96" s="8">
        <f t="shared" si="54"/>
        <v>1.8867924528301885</v>
      </c>
      <c r="X96" s="8">
        <f t="shared" si="55"/>
        <v>5.9171597633136101E-5</v>
      </c>
      <c r="Y96" s="8">
        <f t="shared" si="56"/>
        <v>3.5599857600569589</v>
      </c>
      <c r="Z96" s="8">
        <f t="shared" si="57"/>
        <v>1.4513788098693758E-2</v>
      </c>
      <c r="AA96" s="8">
        <f t="shared" si="58"/>
        <v>-2.3175010184432035E-2</v>
      </c>
      <c r="AC96" s="5">
        <v>10</v>
      </c>
      <c r="AD96" s="1">
        <v>130</v>
      </c>
      <c r="AE96" s="1">
        <v>0.53</v>
      </c>
      <c r="AF96" s="8">
        <f t="shared" si="59"/>
        <v>7.6923076923076927E-3</v>
      </c>
      <c r="AG96" s="8">
        <f t="shared" si="60"/>
        <v>1.8867924528301885</v>
      </c>
      <c r="AH96" s="8">
        <f t="shared" si="61"/>
        <v>5.9171597633136101E-5</v>
      </c>
      <c r="AI96" s="8">
        <f t="shared" si="62"/>
        <v>3.5599857600569589</v>
      </c>
      <c r="AJ96" s="8">
        <f t="shared" si="63"/>
        <v>1.4513788098693758E-2</v>
      </c>
      <c r="AK96" s="8">
        <f t="shared" si="64"/>
        <v>0.60234793123483987</v>
      </c>
    </row>
    <row r="97" spans="9:37" x14ac:dyDescent="0.25">
      <c r="I97" s="5">
        <v>11</v>
      </c>
      <c r="J97" s="1">
        <v>139</v>
      </c>
      <c r="K97" s="1">
        <v>0.51</v>
      </c>
      <c r="L97" s="8">
        <f t="shared" si="47"/>
        <v>7.1942446043165471E-3</v>
      </c>
      <c r="M97" s="8">
        <f t="shared" si="48"/>
        <v>1.9607843137254901</v>
      </c>
      <c r="N97" s="8">
        <f t="shared" si="49"/>
        <v>5.175715542673775E-5</v>
      </c>
      <c r="O97" s="8">
        <f t="shared" si="50"/>
        <v>3.8446751249519413</v>
      </c>
      <c r="P97" s="8">
        <f t="shared" si="51"/>
        <v>1.4106361969248131E-2</v>
      </c>
      <c r="Q97" s="8">
        <f t="shared" si="52"/>
        <v>0.54322126300897688</v>
      </c>
      <c r="S97" s="5">
        <v>11</v>
      </c>
      <c r="T97" s="1">
        <v>139</v>
      </c>
      <c r="U97" s="1">
        <v>0.51</v>
      </c>
      <c r="V97" s="8">
        <f t="shared" si="53"/>
        <v>7.1942446043165471E-3</v>
      </c>
      <c r="W97" s="8">
        <f t="shared" si="54"/>
        <v>1.9607843137254901</v>
      </c>
      <c r="X97" s="8">
        <f t="shared" si="55"/>
        <v>5.175715542673775E-5</v>
      </c>
      <c r="Y97" s="8">
        <f t="shared" si="56"/>
        <v>3.8446751249519413</v>
      </c>
      <c r="Z97" s="8">
        <f t="shared" si="57"/>
        <v>1.4106361969248131E-2</v>
      </c>
      <c r="AA97" s="8">
        <f t="shared" si="58"/>
        <v>-2.317443467537136E-2</v>
      </c>
      <c r="AC97" s="5">
        <v>11</v>
      </c>
      <c r="AD97" s="1">
        <v>139</v>
      </c>
      <c r="AE97" s="1">
        <v>0.51</v>
      </c>
      <c r="AF97" s="8">
        <f t="shared" si="59"/>
        <v>7.1942446043165471E-3</v>
      </c>
      <c r="AG97" s="8">
        <f t="shared" si="60"/>
        <v>1.9607843137254901</v>
      </c>
      <c r="AH97" s="8">
        <f t="shared" si="61"/>
        <v>5.175715542673775E-5</v>
      </c>
      <c r="AI97" s="8">
        <f t="shared" si="62"/>
        <v>3.8446751249519413</v>
      </c>
      <c r="AJ97" s="8">
        <f t="shared" si="63"/>
        <v>1.4106361969248131E-2</v>
      </c>
      <c r="AK97" s="8">
        <f t="shared" si="64"/>
        <v>0.5988174468994818</v>
      </c>
    </row>
    <row r="98" spans="9:37" x14ac:dyDescent="0.25">
      <c r="I98" s="6">
        <v>12</v>
      </c>
      <c r="J98" s="2">
        <v>150</v>
      </c>
      <c r="K98" s="2">
        <v>0.5</v>
      </c>
      <c r="L98" s="9">
        <f t="shared" si="47"/>
        <v>6.6666666666666671E-3</v>
      </c>
      <c r="M98" s="9">
        <f t="shared" si="48"/>
        <v>2</v>
      </c>
      <c r="N98" s="9">
        <f t="shared" si="49"/>
        <v>4.4444444444444453E-5</v>
      </c>
      <c r="O98" s="9">
        <f t="shared" si="50"/>
        <v>4</v>
      </c>
      <c r="P98" s="9">
        <f>L98*M98</f>
        <v>1.3333333333333334E-2</v>
      </c>
      <c r="Q98" s="9">
        <f t="shared" si="52"/>
        <v>0.5365919969092301</v>
      </c>
      <c r="S98" s="6">
        <v>12</v>
      </c>
      <c r="T98" s="2">
        <v>150</v>
      </c>
      <c r="U98" s="2">
        <v>0.5</v>
      </c>
      <c r="V98" s="9">
        <f t="shared" si="53"/>
        <v>6.6666666666666671E-3</v>
      </c>
      <c r="W98" s="9">
        <f t="shared" si="54"/>
        <v>2</v>
      </c>
      <c r="X98" s="9">
        <f t="shared" si="55"/>
        <v>4.4444444444444453E-5</v>
      </c>
      <c r="Y98" s="9">
        <f t="shared" si="56"/>
        <v>4</v>
      </c>
      <c r="Z98" s="9">
        <f>V98*W98</f>
        <v>1.3333333333333334E-2</v>
      </c>
      <c r="AA98" s="9">
        <f t="shared" si="58"/>
        <v>-2.3173825093243595E-2</v>
      </c>
      <c r="AC98" s="6">
        <v>12</v>
      </c>
      <c r="AD98" s="2">
        <v>150</v>
      </c>
      <c r="AE98" s="2">
        <v>0.5</v>
      </c>
      <c r="AF98" s="9">
        <f t="shared" si="59"/>
        <v>6.6666666666666671E-3</v>
      </c>
      <c r="AG98" s="9">
        <f t="shared" si="60"/>
        <v>2</v>
      </c>
      <c r="AH98" s="9">
        <f t="shared" si="61"/>
        <v>4.4444444444444453E-5</v>
      </c>
      <c r="AI98" s="9">
        <f t="shared" si="62"/>
        <v>4</v>
      </c>
      <c r="AJ98" s="9">
        <f>AF98*AG98</f>
        <v>1.3333333333333334E-2</v>
      </c>
      <c r="AK98" s="9">
        <f t="shared" si="64"/>
        <v>0.59512260735388889</v>
      </c>
    </row>
    <row r="99" spans="9:37" x14ac:dyDescent="0.25">
      <c r="I99" s="5" t="s">
        <v>6</v>
      </c>
      <c r="J99" s="1">
        <f>SUM(J87:J98)</f>
        <v>1015</v>
      </c>
      <c r="K99" s="1">
        <f t="shared" ref="K99:P99" si="65">SUM(K87:K98)</f>
        <v>10.049999999999999</v>
      </c>
      <c r="L99" s="1">
        <f t="shared" si="65"/>
        <v>0.24732106446646437</v>
      </c>
      <c r="M99" s="1">
        <f t="shared" si="65"/>
        <v>16.875708731598731</v>
      </c>
      <c r="N99" s="1">
        <f t="shared" si="65"/>
        <v>1.017250204316277E-2</v>
      </c>
      <c r="O99" s="1">
        <f t="shared" si="65"/>
        <v>26.297593706532105</v>
      </c>
      <c r="P99" s="1">
        <f t="shared" si="65"/>
        <v>0.24807186133696052</v>
      </c>
      <c r="Q99" s="1"/>
      <c r="S99" s="5" t="s">
        <v>6</v>
      </c>
      <c r="T99" s="1">
        <f>SUM(T87:T98)</f>
        <v>1015</v>
      </c>
      <c r="U99" s="1">
        <f t="shared" ref="U99:Z99" si="66">SUM(U87:U98)</f>
        <v>10.049999999999999</v>
      </c>
      <c r="V99" s="1">
        <f t="shared" si="66"/>
        <v>0.24732106446646437</v>
      </c>
      <c r="W99" s="1">
        <f t="shared" si="66"/>
        <v>16.875708731598731</v>
      </c>
      <c r="X99" s="1">
        <f t="shared" si="66"/>
        <v>1.017250204316277E-2</v>
      </c>
      <c r="Y99" s="1">
        <f t="shared" si="66"/>
        <v>26.297593706532105</v>
      </c>
      <c r="Z99" s="1">
        <f t="shared" si="66"/>
        <v>0.24807186133696052</v>
      </c>
      <c r="AA99" s="1"/>
      <c r="AC99" s="5" t="s">
        <v>6</v>
      </c>
      <c r="AD99" s="1">
        <f>SUM(AD87:AD98)</f>
        <v>1015</v>
      </c>
      <c r="AE99" s="1">
        <f t="shared" ref="AE99:AJ99" si="67">SUM(AE87:AE98)</f>
        <v>10.049999999999999</v>
      </c>
      <c r="AF99" s="1">
        <f t="shared" si="67"/>
        <v>0.24732106446646437</v>
      </c>
      <c r="AG99" s="1">
        <f t="shared" si="67"/>
        <v>16.875708731598731</v>
      </c>
      <c r="AH99" s="1">
        <f t="shared" si="67"/>
        <v>1.017250204316277E-2</v>
      </c>
      <c r="AI99" s="1">
        <f t="shared" si="67"/>
        <v>26.297593706532105</v>
      </c>
      <c r="AJ99" s="1">
        <f t="shared" si="67"/>
        <v>0.24807186133696052</v>
      </c>
      <c r="AK99" s="1"/>
    </row>
    <row r="101" spans="9:37" x14ac:dyDescent="0.25">
      <c r="I101" t="s">
        <v>25</v>
      </c>
      <c r="J101">
        <f xml:space="preserve"> ((I98 * P99)-(L99*M99))/((I98*N99)-(L99)^2)</f>
        <v>-19.652059195186542</v>
      </c>
      <c r="K101">
        <f>SLOPE(M87:M98,L87:L98)</f>
        <v>-19.652059195186535</v>
      </c>
      <c r="L101" t="s">
        <v>26</v>
      </c>
      <c r="M101">
        <v>-43.107999999999997</v>
      </c>
      <c r="S101" t="s">
        <v>25</v>
      </c>
      <c r="T101">
        <f xml:space="preserve"> ((S98 * Z99)-(V99*W99))/((S98*X99)-(V99)^2)</f>
        <v>-19.652059195186542</v>
      </c>
      <c r="U101">
        <f>SLOPE(W87:W98,V87:V98)</f>
        <v>-19.652059195186535</v>
      </c>
      <c r="V101" t="s">
        <v>26</v>
      </c>
      <c r="W101">
        <v>2.1514869999999999</v>
      </c>
      <c r="AC101" t="s">
        <v>25</v>
      </c>
      <c r="AD101">
        <f xml:space="preserve"> ((AC98 * AJ99)-(AF99*AG99))/((AC98*AH99)-(AF99)^2)</f>
        <v>-19.652059195186542</v>
      </c>
      <c r="AE101">
        <f>SLOPE(AG87:AG98,AF87:AF98)</f>
        <v>-19.652059195186535</v>
      </c>
      <c r="AF101" t="s">
        <v>26</v>
      </c>
      <c r="AG101">
        <f>AD101</f>
        <v>-19.652059195186542</v>
      </c>
    </row>
    <row r="102" spans="9:37" x14ac:dyDescent="0.25">
      <c r="I102" t="s">
        <v>24</v>
      </c>
      <c r="J102">
        <f>(M99/I98)-(J101*(L99/I98))</f>
        <v>1.811339744225853</v>
      </c>
      <c r="K102">
        <f>INTERCEPT(M87:M98,L87:L98)</f>
        <v>1.8113397442258528</v>
      </c>
      <c r="L102" t="s">
        <v>27</v>
      </c>
      <c r="M102">
        <v>2.1509999999999998</v>
      </c>
      <c r="S102" t="s">
        <v>24</v>
      </c>
      <c r="T102">
        <f>(W99/S98)-(T101*(V99/S98))</f>
        <v>1.811339744225853</v>
      </c>
      <c r="U102">
        <f>INTERCEPT(W87:W98,V87:V98)</f>
        <v>1.8113397442258528</v>
      </c>
      <c r="V102" t="s">
        <v>27</v>
      </c>
      <c r="W102">
        <v>-43.166477</v>
      </c>
      <c r="AC102" t="s">
        <v>24</v>
      </c>
      <c r="AD102">
        <f>(AG99/AC98)-(AD101*(AF99/AC98))</f>
        <v>1.811339744225853</v>
      </c>
      <c r="AE102">
        <f>INTERCEPT(AG87:AG98,AF87:AF98)</f>
        <v>1.8113397442258528</v>
      </c>
      <c r="AF102" t="s">
        <v>27</v>
      </c>
      <c r="AG102">
        <f>AD102</f>
        <v>1.811339744225853</v>
      </c>
    </row>
    <row r="104" spans="9:37" x14ac:dyDescent="0.25">
      <c r="J104" t="s">
        <v>28</v>
      </c>
      <c r="K104" t="s">
        <v>29</v>
      </c>
      <c r="M104" t="s">
        <v>30</v>
      </c>
      <c r="N104">
        <v>100</v>
      </c>
      <c r="O104">
        <f>N104/(M$102*N104+M$101)</f>
        <v>0.58142239173915078</v>
      </c>
      <c r="T104" t="s">
        <v>28</v>
      </c>
      <c r="U104" t="s">
        <v>29</v>
      </c>
      <c r="W104" t="s">
        <v>30</v>
      </c>
      <c r="X104">
        <v>100</v>
      </c>
      <c r="Y104">
        <f>X104/(W$102*X104+W$101)</f>
        <v>-2.3177677082828394E-2</v>
      </c>
      <c r="AD104" t="s">
        <v>28</v>
      </c>
      <c r="AE104" t="s">
        <v>29</v>
      </c>
      <c r="AG104" t="s">
        <v>30</v>
      </c>
      <c r="AH104">
        <v>100</v>
      </c>
      <c r="AI104">
        <f>AH104/(AG$102*AH104+AG$101)</f>
        <v>0.61926439167618275</v>
      </c>
    </row>
    <row r="105" spans="9:37" x14ac:dyDescent="0.25">
      <c r="I105" t="s">
        <v>11</v>
      </c>
      <c r="J105">
        <f>((I98*P99)-(L99*M99))/(SQRT((I98*N99)-(L99)^2)*SQRT((I98*O99)-(M99)^2))</f>
        <v>-0.87413702839074714</v>
      </c>
      <c r="K105">
        <f>CORREL(K87:K98,Q87:Q98)</f>
        <v>-0.54130471470150798</v>
      </c>
      <c r="S105" t="s">
        <v>11</v>
      </c>
      <c r="T105">
        <f>((S98*Z99)-(V99*W99))/(SQRT((S98*X99)-(V99)^2)*SQRT((S98*Y99)-(W99)^2))</f>
        <v>-0.87413702839074714</v>
      </c>
      <c r="U105">
        <f>CORREL(U87:U98,AA87:AA98)</f>
        <v>-0.98010557097114048</v>
      </c>
      <c r="AC105" t="s">
        <v>11</v>
      </c>
      <c r="AD105">
        <f>((AC98*AJ99)-(AF99*AG99))/(SQRT((AC98*AH99)-(AF99)^2)*SQRT((AC98*AI99)-(AG99)^2))</f>
        <v>-0.87413702839074714</v>
      </c>
      <c r="AE105">
        <f>CORREL(AE87:AE98,AK87:AK98)</f>
        <v>0.85887825600717072</v>
      </c>
    </row>
    <row r="106" spans="9:37" x14ac:dyDescent="0.25">
      <c r="I106" t="s">
        <v>12</v>
      </c>
      <c r="J106">
        <f>J105*J105</f>
        <v>0.76411554440380591</v>
      </c>
      <c r="K106">
        <f>K105^2</f>
        <v>0.29301079415808096</v>
      </c>
      <c r="S106" t="s">
        <v>12</v>
      </c>
      <c r="T106">
        <f>T105*T105</f>
        <v>0.76411554440380591</v>
      </c>
      <c r="U106">
        <f>U105^2</f>
        <v>0.96060693024866528</v>
      </c>
      <c r="AC106" t="s">
        <v>12</v>
      </c>
      <c r="AD106">
        <f>AD105*AD105</f>
        <v>0.76411554440380591</v>
      </c>
      <c r="AE106">
        <f>AE105^2</f>
        <v>0.73767185864191909</v>
      </c>
    </row>
    <row r="108" spans="9:37" x14ac:dyDescent="0.25">
      <c r="J108">
        <f>CORREL(L87:L98,M87:M98)</f>
        <v>-0.87413702839074747</v>
      </c>
      <c r="T108">
        <f>CORREL(V87:V98,W87:W98)</f>
        <v>-0.87413702839074747</v>
      </c>
    </row>
  </sheetData>
  <mergeCells count="79">
    <mergeCell ref="I3:I4"/>
    <mergeCell ref="L3:L4"/>
    <mergeCell ref="M3:M4"/>
    <mergeCell ref="N3:N4"/>
    <mergeCell ref="O3:O4"/>
    <mergeCell ref="P3:P4"/>
    <mergeCell ref="Q3:Q4"/>
    <mergeCell ref="S3:S4"/>
    <mergeCell ref="V3:V4"/>
    <mergeCell ref="T3:T4"/>
    <mergeCell ref="U3:U4"/>
    <mergeCell ref="AH3:AH4"/>
    <mergeCell ref="AI3:AI4"/>
    <mergeCell ref="AD3:AD4"/>
    <mergeCell ref="AE3:AE4"/>
    <mergeCell ref="W3:W4"/>
    <mergeCell ref="X3:X4"/>
    <mergeCell ref="Y3:Y4"/>
    <mergeCell ref="Z3:Z4"/>
    <mergeCell ref="AA3:AA4"/>
    <mergeCell ref="Z44:Z45"/>
    <mergeCell ref="AA44:AA45"/>
    <mergeCell ref="AC3:AC4"/>
    <mergeCell ref="AF3:AF4"/>
    <mergeCell ref="AG3:AG4"/>
    <mergeCell ref="AH44:AH45"/>
    <mergeCell ref="AI44:AI45"/>
    <mergeCell ref="AJ3:AJ4"/>
    <mergeCell ref="AK3:AK4"/>
    <mergeCell ref="I44:I45"/>
    <mergeCell ref="L44:L45"/>
    <mergeCell ref="M44:M45"/>
    <mergeCell ref="N44:N45"/>
    <mergeCell ref="O44:O45"/>
    <mergeCell ref="P44:P45"/>
    <mergeCell ref="Q44:Q45"/>
    <mergeCell ref="S44:S45"/>
    <mergeCell ref="V44:V45"/>
    <mergeCell ref="W44:W45"/>
    <mergeCell ref="X44:X45"/>
    <mergeCell ref="Y44:Y45"/>
    <mergeCell ref="AD44:AD45"/>
    <mergeCell ref="AJ44:AJ45"/>
    <mergeCell ref="AK44:AK45"/>
    <mergeCell ref="AC85:AC86"/>
    <mergeCell ref="AF85:AF86"/>
    <mergeCell ref="AG85:AG86"/>
    <mergeCell ref="AH85:AH86"/>
    <mergeCell ref="AI85:AI86"/>
    <mergeCell ref="AJ85:AJ86"/>
    <mergeCell ref="AK85:AK86"/>
    <mergeCell ref="AE44:AE45"/>
    <mergeCell ref="AD85:AD86"/>
    <mergeCell ref="AE85:AE86"/>
    <mergeCell ref="AC44:AC45"/>
    <mergeCell ref="AF44:AF45"/>
    <mergeCell ref="AG44:AG45"/>
    <mergeCell ref="V85:V86"/>
    <mergeCell ref="W85:W86"/>
    <mergeCell ref="J44:J45"/>
    <mergeCell ref="K44:K45"/>
    <mergeCell ref="T44:T45"/>
    <mergeCell ref="U44:U45"/>
    <mergeCell ref="X85:X86"/>
    <mergeCell ref="Y85:Y86"/>
    <mergeCell ref="Z85:Z86"/>
    <mergeCell ref="AA85:AA86"/>
    <mergeCell ref="I85:I86"/>
    <mergeCell ref="J85:J86"/>
    <mergeCell ref="K85:K86"/>
    <mergeCell ref="L85:L86"/>
    <mergeCell ref="M85:M86"/>
    <mergeCell ref="N85:N86"/>
    <mergeCell ref="O85:O86"/>
    <mergeCell ref="P85:P86"/>
    <mergeCell ref="Q85:Q86"/>
    <mergeCell ref="S85:S86"/>
    <mergeCell ref="T85:T86"/>
    <mergeCell ref="U85:U8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Anthony Hermawan</dc:creator>
  <cp:lastModifiedBy>Christian Anthony Hermawan</cp:lastModifiedBy>
  <dcterms:created xsi:type="dcterms:W3CDTF">2015-06-05T18:17:20Z</dcterms:created>
  <dcterms:modified xsi:type="dcterms:W3CDTF">2026-05-31T16:29:52Z</dcterms:modified>
</cp:coreProperties>
</file>